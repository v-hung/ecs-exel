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971A9579-A85A-4420-AAE5-D3776785F7A1}" xr6:coauthVersionLast="47" xr6:coauthVersionMax="47" xr10:uidLastSave="{00000000-0000-0000-0000-000000000000}"/>
  <bookViews>
    <workbookView xWindow="-28920" yWindow="465" windowWidth="29040" windowHeight="15720" xr2:uid="{00000000-000D-0000-FFFF-FFFF00000000}"/>
  </bookViews>
  <sheets>
    <sheet name="作業実績表" sheetId="1" r:id="rId1"/>
  </sheets>
  <definedNames>
    <definedName name="_xlnm._FilterDatabase" localSheetId="0" hidden="1">作業実績表!$A$4:$AI$25</definedName>
    <definedName name="_xlnm.Print_Area" localSheetId="0">作業実績表!$A$1:$AI$146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1" i="1" l="1"/>
  <c r="AF29" i="1" l="1"/>
  <c r="AE29" i="1"/>
  <c r="AD29" i="1"/>
  <c r="AB29" i="1"/>
  <c r="AF19" i="1"/>
  <c r="AE19" i="1"/>
  <c r="AD19" i="1"/>
  <c r="AC19" i="1"/>
  <c r="AB19" i="1"/>
  <c r="AF9" i="1"/>
  <c r="AE9" i="1"/>
  <c r="AD9" i="1"/>
  <c r="AC9" i="1"/>
  <c r="AB9" i="1"/>
  <c r="AE99" i="1"/>
  <c r="AD99" i="1"/>
  <c r="AC99" i="1"/>
  <c r="AB99" i="1"/>
  <c r="AF129" i="1"/>
  <c r="AE129" i="1"/>
  <c r="AD129" i="1"/>
  <c r="AB129" i="1"/>
  <c r="AC129" i="1"/>
  <c r="AF119" i="1"/>
  <c r="AE119" i="1"/>
  <c r="AD119" i="1"/>
  <c r="AC119" i="1"/>
  <c r="AB119" i="1"/>
  <c r="AF109" i="1"/>
  <c r="AE109" i="1"/>
  <c r="AD109" i="1"/>
  <c r="AC109" i="1"/>
  <c r="AB109" i="1"/>
  <c r="Y59" i="1"/>
  <c r="X59" i="1"/>
  <c r="W59" i="1"/>
  <c r="V59" i="1"/>
  <c r="U59" i="1"/>
  <c r="Y49" i="1"/>
  <c r="X49" i="1"/>
  <c r="W49" i="1"/>
  <c r="V49" i="1"/>
  <c r="U49" i="1"/>
  <c r="Z139" i="1"/>
  <c r="Z19" i="1"/>
  <c r="Y29" i="1"/>
  <c r="X29" i="1"/>
  <c r="W29" i="1"/>
  <c r="V29" i="1"/>
  <c r="U29" i="1"/>
  <c r="Y19" i="1"/>
  <c r="X19" i="1"/>
  <c r="W19" i="1"/>
  <c r="V19" i="1"/>
  <c r="U19" i="1"/>
  <c r="Y9" i="1"/>
  <c r="X9" i="1"/>
  <c r="W9" i="1"/>
  <c r="V9" i="1"/>
  <c r="Y99" i="1"/>
  <c r="X99" i="1"/>
  <c r="W99" i="1"/>
  <c r="V99" i="1"/>
  <c r="U99" i="1"/>
  <c r="Y109" i="1"/>
  <c r="X109" i="1"/>
  <c r="W109" i="1"/>
  <c r="V109" i="1"/>
  <c r="U109" i="1"/>
  <c r="Y129" i="1"/>
  <c r="X129" i="1"/>
  <c r="W129" i="1"/>
  <c r="V129" i="1"/>
  <c r="U129" i="1"/>
  <c r="Y119" i="1"/>
  <c r="X119" i="1"/>
  <c r="W119" i="1"/>
  <c r="V119" i="1"/>
  <c r="U119" i="1"/>
  <c r="P145" i="1"/>
  <c r="R95" i="1"/>
  <c r="Q95" i="1"/>
  <c r="P95" i="1"/>
  <c r="O95" i="1"/>
  <c r="N95" i="1"/>
  <c r="R89" i="1"/>
  <c r="Q89" i="1"/>
  <c r="P89" i="1"/>
  <c r="O89" i="1"/>
  <c r="N89" i="1"/>
  <c r="R85" i="1"/>
  <c r="Q85" i="1"/>
  <c r="P85" i="1"/>
  <c r="O85" i="1"/>
  <c r="N85" i="1"/>
  <c r="R79" i="1"/>
  <c r="Q79" i="1"/>
  <c r="P79" i="1"/>
  <c r="O79" i="1"/>
  <c r="N79" i="1"/>
  <c r="R75" i="1"/>
  <c r="Q75" i="1"/>
  <c r="P75" i="1"/>
  <c r="O75" i="1"/>
  <c r="N75" i="1"/>
  <c r="R69" i="1"/>
  <c r="Q69" i="1"/>
  <c r="P69" i="1"/>
  <c r="O69" i="1"/>
  <c r="N69" i="1"/>
  <c r="R65" i="1"/>
  <c r="Q65" i="1"/>
  <c r="P65" i="1"/>
  <c r="O65" i="1"/>
  <c r="N65" i="1"/>
  <c r="R59" i="1"/>
  <c r="Q59" i="1"/>
  <c r="P59" i="1"/>
  <c r="O59" i="1"/>
  <c r="N59" i="1"/>
  <c r="R55" i="1"/>
  <c r="Q55" i="1"/>
  <c r="P55" i="1"/>
  <c r="O55" i="1"/>
  <c r="N55" i="1"/>
  <c r="R49" i="1"/>
  <c r="Q49" i="1"/>
  <c r="P49" i="1"/>
  <c r="O49" i="1"/>
  <c r="N49" i="1"/>
  <c r="R45" i="1"/>
  <c r="Q45" i="1"/>
  <c r="P45" i="1"/>
  <c r="O45" i="1"/>
  <c r="N45" i="1"/>
  <c r="R39" i="1"/>
  <c r="Q39" i="1"/>
  <c r="P39" i="1"/>
  <c r="O39" i="1"/>
  <c r="N39" i="1"/>
  <c r="AI54" i="1"/>
  <c r="AI53" i="1"/>
  <c r="AI52" i="1"/>
  <c r="AI51" i="1"/>
  <c r="AI50" i="1"/>
  <c r="AI44" i="1"/>
  <c r="AI43" i="1"/>
  <c r="AI42" i="1"/>
  <c r="AI41" i="1"/>
  <c r="AI40" i="1"/>
  <c r="G105" i="1" l="1"/>
  <c r="G129" i="1"/>
  <c r="H129" i="1"/>
  <c r="I129" i="1"/>
  <c r="J129" i="1"/>
  <c r="K129" i="1"/>
  <c r="K139" i="1" l="1"/>
  <c r="J139" i="1"/>
  <c r="I139" i="1"/>
  <c r="H139" i="1"/>
  <c r="G139" i="1"/>
  <c r="K29" i="1"/>
  <c r="J29" i="1"/>
  <c r="I29" i="1"/>
  <c r="H29" i="1"/>
  <c r="G29" i="1"/>
  <c r="K19" i="1"/>
  <c r="J19" i="1"/>
  <c r="I19" i="1"/>
  <c r="H19" i="1"/>
  <c r="G19" i="1"/>
  <c r="K9" i="1"/>
  <c r="J9" i="1"/>
  <c r="I9" i="1"/>
  <c r="H9" i="1"/>
  <c r="K15" i="1" l="1"/>
  <c r="AB145" i="1"/>
  <c r="AI104" i="1"/>
  <c r="AI103" i="1"/>
  <c r="AI102" i="1"/>
  <c r="AI101" i="1"/>
  <c r="AI100" i="1"/>
  <c r="AH99" i="1"/>
  <c r="AG99" i="1"/>
  <c r="AF99" i="1"/>
  <c r="AA99" i="1"/>
  <c r="Z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F105" i="1"/>
  <c r="E10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M95" i="1"/>
  <c r="L95" i="1"/>
  <c r="K95" i="1"/>
  <c r="J95" i="1"/>
  <c r="I95" i="1"/>
  <c r="H95" i="1"/>
  <c r="G95" i="1"/>
  <c r="F95" i="1"/>
  <c r="E95" i="1"/>
  <c r="AI94" i="1"/>
  <c r="AI93" i="1"/>
  <c r="AI92" i="1"/>
  <c r="AI91" i="1"/>
  <c r="AI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M89" i="1"/>
  <c r="L89" i="1"/>
  <c r="K89" i="1"/>
  <c r="J89" i="1"/>
  <c r="I89" i="1"/>
  <c r="H89" i="1"/>
  <c r="G89" i="1"/>
  <c r="F89" i="1"/>
  <c r="E89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M85" i="1"/>
  <c r="L85" i="1"/>
  <c r="K85" i="1"/>
  <c r="J85" i="1"/>
  <c r="I85" i="1"/>
  <c r="H85" i="1"/>
  <c r="G85" i="1"/>
  <c r="F85" i="1"/>
  <c r="E85" i="1"/>
  <c r="AI84" i="1"/>
  <c r="AI83" i="1"/>
  <c r="AI82" i="1"/>
  <c r="AI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M79" i="1"/>
  <c r="L79" i="1"/>
  <c r="K79" i="1"/>
  <c r="J79" i="1"/>
  <c r="I79" i="1"/>
  <c r="H79" i="1"/>
  <c r="G79" i="1"/>
  <c r="F79" i="1"/>
  <c r="E79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M75" i="1"/>
  <c r="L75" i="1"/>
  <c r="K75" i="1"/>
  <c r="J75" i="1"/>
  <c r="I75" i="1"/>
  <c r="H75" i="1"/>
  <c r="G75" i="1"/>
  <c r="F75" i="1"/>
  <c r="E75" i="1"/>
  <c r="AI74" i="1"/>
  <c r="AI73" i="1"/>
  <c r="AI72" i="1"/>
  <c r="AI71" i="1"/>
  <c r="AI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M69" i="1"/>
  <c r="L69" i="1"/>
  <c r="K69" i="1"/>
  <c r="J69" i="1"/>
  <c r="I69" i="1"/>
  <c r="H69" i="1"/>
  <c r="G69" i="1"/>
  <c r="F69" i="1"/>
  <c r="E69" i="1"/>
  <c r="AI85" i="1" l="1"/>
  <c r="AI95" i="1"/>
  <c r="AI99" i="1"/>
  <c r="AI105" i="1"/>
  <c r="AI89" i="1"/>
  <c r="AI75" i="1"/>
  <c r="AI79" i="1"/>
  <c r="AI69" i="1"/>
  <c r="AG29" i="1" l="1"/>
  <c r="AF49" i="1"/>
  <c r="G35" i="1" l="1"/>
  <c r="AH59" i="1"/>
  <c r="AG59" i="1"/>
  <c r="AF59" i="1"/>
  <c r="AE59" i="1"/>
  <c r="AH49" i="1"/>
  <c r="AG49" i="1"/>
  <c r="AE49" i="1"/>
  <c r="AH39" i="1"/>
  <c r="AG39" i="1"/>
  <c r="AF39" i="1"/>
  <c r="AE39" i="1"/>
  <c r="AH29" i="1"/>
  <c r="AH9" i="1"/>
  <c r="AG9" i="1"/>
  <c r="AH19" i="1"/>
  <c r="AG19" i="1"/>
  <c r="AH139" i="1"/>
  <c r="AG139" i="1"/>
  <c r="AH129" i="1"/>
  <c r="AG129" i="1"/>
  <c r="AH119" i="1"/>
  <c r="AG119" i="1"/>
  <c r="AH109" i="1"/>
  <c r="AG109" i="1"/>
  <c r="AE145" i="1"/>
  <c r="X35" i="1"/>
  <c r="AB59" i="1"/>
  <c r="AA59" i="1"/>
  <c r="Z59" i="1"/>
  <c r="Z49" i="1"/>
  <c r="AB49" i="1"/>
  <c r="AA49" i="1"/>
  <c r="AB39" i="1"/>
  <c r="AA39" i="1"/>
  <c r="Z39" i="1"/>
  <c r="Y39" i="1"/>
  <c r="X39" i="1"/>
  <c r="AA29" i="1"/>
  <c r="Z29" i="1"/>
  <c r="AA19" i="1"/>
  <c r="AA9" i="1"/>
  <c r="Z9" i="1"/>
  <c r="AA139" i="1"/>
  <c r="AA129" i="1"/>
  <c r="Z129" i="1"/>
  <c r="AA119" i="1"/>
  <c r="Z119" i="1"/>
  <c r="AA109" i="1"/>
  <c r="Z109" i="1"/>
  <c r="T139" i="1"/>
  <c r="S139" i="1"/>
  <c r="R139" i="1"/>
  <c r="Q139" i="1"/>
  <c r="T129" i="1"/>
  <c r="S129" i="1"/>
  <c r="R129" i="1"/>
  <c r="Q129" i="1"/>
  <c r="T119" i="1"/>
  <c r="S119" i="1"/>
  <c r="R119" i="1"/>
  <c r="Q119" i="1"/>
  <c r="T109" i="1"/>
  <c r="S109" i="1"/>
  <c r="R109" i="1"/>
  <c r="Q109" i="1"/>
  <c r="T59" i="1"/>
  <c r="S59" i="1"/>
  <c r="T49" i="1"/>
  <c r="S49" i="1"/>
  <c r="U39" i="1"/>
  <c r="T39" i="1"/>
  <c r="S39" i="1"/>
  <c r="S29" i="1"/>
  <c r="T29" i="1"/>
  <c r="T19" i="1"/>
  <c r="S19" i="1"/>
  <c r="R19" i="1"/>
  <c r="Q19" i="1"/>
  <c r="U9" i="1"/>
  <c r="T9" i="1"/>
  <c r="S9" i="1"/>
  <c r="N29" i="1"/>
  <c r="M29" i="1"/>
  <c r="L29" i="1"/>
  <c r="N19" i="1"/>
  <c r="M19" i="1"/>
  <c r="L19" i="1"/>
  <c r="M39" i="1"/>
  <c r="L39" i="1"/>
  <c r="K39" i="1"/>
  <c r="J39" i="1"/>
  <c r="M59" i="1"/>
  <c r="L59" i="1"/>
  <c r="K59" i="1"/>
  <c r="J59" i="1"/>
  <c r="N9" i="1"/>
  <c r="M9" i="1"/>
  <c r="L9" i="1"/>
  <c r="N139" i="1"/>
  <c r="M139" i="1"/>
  <c r="L139" i="1"/>
  <c r="N129" i="1"/>
  <c r="M129" i="1"/>
  <c r="L129" i="1"/>
  <c r="N119" i="1"/>
  <c r="M119" i="1"/>
  <c r="L119" i="1"/>
  <c r="K119" i="1"/>
  <c r="J119" i="1"/>
  <c r="N109" i="1"/>
  <c r="M109" i="1"/>
  <c r="L109" i="1"/>
  <c r="K109" i="1"/>
  <c r="J109" i="1"/>
  <c r="G49" i="1"/>
  <c r="H49" i="1"/>
  <c r="F49" i="1"/>
  <c r="H39" i="1"/>
  <c r="G39" i="1"/>
  <c r="F39" i="1"/>
  <c r="F29" i="1"/>
  <c r="F19" i="1"/>
  <c r="E19" i="1"/>
  <c r="G9" i="1"/>
  <c r="F9" i="1"/>
  <c r="E9" i="1"/>
  <c r="E15" i="1"/>
  <c r="F15" i="1"/>
  <c r="G15" i="1"/>
  <c r="AH145" i="1" l="1"/>
  <c r="AH135" i="1"/>
  <c r="AH125" i="1"/>
  <c r="AH115" i="1"/>
  <c r="AH65" i="1"/>
  <c r="AH55" i="1"/>
  <c r="AH45" i="1"/>
  <c r="AH35" i="1"/>
  <c r="AH25" i="1"/>
  <c r="AH15" i="1"/>
  <c r="G59" i="1"/>
  <c r="F59" i="1"/>
  <c r="E59" i="1"/>
  <c r="F109" i="1"/>
  <c r="E109" i="1"/>
  <c r="F119" i="1"/>
  <c r="E119" i="1"/>
  <c r="F129" i="1"/>
  <c r="E129" i="1"/>
  <c r="F145" i="1"/>
  <c r="E145" i="1"/>
  <c r="F139" i="1"/>
  <c r="E139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M55" i="1"/>
  <c r="L55" i="1"/>
  <c r="K55" i="1"/>
  <c r="J55" i="1"/>
  <c r="I55" i="1"/>
  <c r="H55" i="1"/>
  <c r="G55" i="1"/>
  <c r="F55" i="1"/>
  <c r="E55" i="1"/>
  <c r="AD49" i="1"/>
  <c r="AC49" i="1"/>
  <c r="M49" i="1"/>
  <c r="L49" i="1"/>
  <c r="K49" i="1"/>
  <c r="J49" i="1"/>
  <c r="I49" i="1"/>
  <c r="E49" i="1"/>
  <c r="W159" i="1"/>
  <c r="W35" i="1"/>
  <c r="W39" i="1"/>
  <c r="W45" i="1"/>
  <c r="W65" i="1"/>
  <c r="W115" i="1"/>
  <c r="W125" i="1"/>
  <c r="W135" i="1"/>
  <c r="P139" i="1"/>
  <c r="O139" i="1"/>
  <c r="P129" i="1"/>
  <c r="O129" i="1"/>
  <c r="P119" i="1"/>
  <c r="O119" i="1"/>
  <c r="P109" i="1"/>
  <c r="O109" i="1"/>
  <c r="AI14" i="1"/>
  <c r="AI13" i="1"/>
  <c r="AI24" i="1"/>
  <c r="AI23" i="1"/>
  <c r="AI34" i="1"/>
  <c r="AI33" i="1"/>
  <c r="AI64" i="1"/>
  <c r="AI63" i="1"/>
  <c r="AI114" i="1"/>
  <c r="AI113" i="1"/>
  <c r="AI124" i="1"/>
  <c r="AI123" i="1"/>
  <c r="AI133" i="1"/>
  <c r="AI143" i="1"/>
  <c r="AI144" i="1"/>
  <c r="AG145" i="1"/>
  <c r="AF145" i="1"/>
  <c r="AD145" i="1"/>
  <c r="AC145" i="1"/>
  <c r="AA145" i="1"/>
  <c r="Z145" i="1"/>
  <c r="Y145" i="1"/>
  <c r="X145" i="1"/>
  <c r="W145" i="1"/>
  <c r="V145" i="1"/>
  <c r="U145" i="1"/>
  <c r="T145" i="1"/>
  <c r="S145" i="1"/>
  <c r="R145" i="1"/>
  <c r="Q145" i="1"/>
  <c r="O145" i="1"/>
  <c r="N145" i="1"/>
  <c r="M145" i="1"/>
  <c r="L145" i="1"/>
  <c r="K145" i="1"/>
  <c r="J145" i="1"/>
  <c r="I145" i="1"/>
  <c r="H145" i="1"/>
  <c r="G145" i="1"/>
  <c r="AI142" i="1"/>
  <c r="AI141" i="1"/>
  <c r="AI140" i="1"/>
  <c r="I119" i="1"/>
  <c r="H119" i="1"/>
  <c r="G119" i="1"/>
  <c r="I109" i="1"/>
  <c r="H109" i="1"/>
  <c r="G109" i="1"/>
  <c r="AE15" i="1"/>
  <c r="AE25" i="1"/>
  <c r="H59" i="1"/>
  <c r="I59" i="1"/>
  <c r="AC59" i="1"/>
  <c r="AD59" i="1"/>
  <c r="I39" i="1"/>
  <c r="V39" i="1"/>
  <c r="AC39" i="1"/>
  <c r="AD39" i="1"/>
  <c r="O29" i="1"/>
  <c r="P29" i="1"/>
  <c r="Q29" i="1"/>
  <c r="R29" i="1"/>
  <c r="AC29" i="1"/>
  <c r="O19" i="1"/>
  <c r="P19" i="1"/>
  <c r="O9" i="1"/>
  <c r="P9" i="1"/>
  <c r="Q9" i="1"/>
  <c r="R9" i="1"/>
  <c r="E39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X135" i="1"/>
  <c r="Y135" i="1"/>
  <c r="Z135" i="1"/>
  <c r="AA135" i="1"/>
  <c r="AB135" i="1"/>
  <c r="AC135" i="1"/>
  <c r="AD135" i="1"/>
  <c r="AE135" i="1"/>
  <c r="AF135" i="1"/>
  <c r="AG135" i="1"/>
  <c r="F135" i="1"/>
  <c r="E13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X125" i="1"/>
  <c r="Y125" i="1"/>
  <c r="Z125" i="1"/>
  <c r="AA125" i="1"/>
  <c r="AB125" i="1"/>
  <c r="AC125" i="1"/>
  <c r="AD125" i="1"/>
  <c r="AE125" i="1"/>
  <c r="AF125" i="1"/>
  <c r="AG125" i="1"/>
  <c r="F125" i="1"/>
  <c r="E12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X115" i="1"/>
  <c r="Y115" i="1"/>
  <c r="Z115" i="1"/>
  <c r="AA115" i="1"/>
  <c r="AB115" i="1"/>
  <c r="AC115" i="1"/>
  <c r="AD115" i="1"/>
  <c r="AE115" i="1"/>
  <c r="AF115" i="1"/>
  <c r="AG115" i="1"/>
  <c r="F115" i="1"/>
  <c r="E115" i="1"/>
  <c r="G65" i="1"/>
  <c r="H65" i="1"/>
  <c r="I65" i="1"/>
  <c r="J65" i="1"/>
  <c r="K65" i="1"/>
  <c r="L65" i="1"/>
  <c r="M65" i="1"/>
  <c r="S65" i="1"/>
  <c r="T65" i="1"/>
  <c r="U65" i="1"/>
  <c r="V65" i="1"/>
  <c r="X65" i="1"/>
  <c r="Y65" i="1"/>
  <c r="Z65" i="1"/>
  <c r="AA65" i="1"/>
  <c r="AB65" i="1"/>
  <c r="AC65" i="1"/>
  <c r="AD65" i="1"/>
  <c r="AE65" i="1"/>
  <c r="AF65" i="1"/>
  <c r="AG65" i="1"/>
  <c r="F65" i="1"/>
  <c r="E65" i="1"/>
  <c r="G45" i="1"/>
  <c r="H45" i="1"/>
  <c r="I45" i="1"/>
  <c r="J45" i="1"/>
  <c r="K45" i="1"/>
  <c r="L45" i="1"/>
  <c r="M45" i="1"/>
  <c r="S45" i="1"/>
  <c r="T45" i="1"/>
  <c r="U45" i="1"/>
  <c r="V45" i="1"/>
  <c r="X45" i="1"/>
  <c r="Y45" i="1"/>
  <c r="Z45" i="1"/>
  <c r="AA45" i="1"/>
  <c r="AB45" i="1"/>
  <c r="AC45" i="1"/>
  <c r="AD45" i="1"/>
  <c r="AE45" i="1"/>
  <c r="AF45" i="1"/>
  <c r="AG45" i="1"/>
  <c r="F45" i="1"/>
  <c r="E4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Y35" i="1"/>
  <c r="Z35" i="1"/>
  <c r="AA35" i="1"/>
  <c r="AB35" i="1"/>
  <c r="AC35" i="1"/>
  <c r="AD35" i="1"/>
  <c r="AE35" i="1"/>
  <c r="AF35" i="1"/>
  <c r="AG35" i="1"/>
  <c r="F35" i="1"/>
  <c r="E3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F25" i="1"/>
  <c r="AG25" i="1"/>
  <c r="F25" i="1"/>
  <c r="H15" i="1"/>
  <c r="I15" i="1"/>
  <c r="J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F15" i="1"/>
  <c r="AG15" i="1"/>
  <c r="E25" i="1"/>
  <c r="E29" i="1"/>
  <c r="AI45" i="1" l="1"/>
  <c r="AI39" i="1"/>
  <c r="L153" i="1"/>
  <c r="AI55" i="1"/>
  <c r="AI49" i="1"/>
  <c r="AI139" i="1"/>
  <c r="AI145" i="1"/>
  <c r="E4" i="1"/>
  <c r="E5" i="1" s="1"/>
  <c r="AI134" i="1"/>
  <c r="L154" i="1" s="1"/>
  <c r="AI132" i="1"/>
  <c r="AI131" i="1"/>
  <c r="AI130" i="1"/>
  <c r="AI122" i="1"/>
  <c r="AI121" i="1"/>
  <c r="AI120" i="1"/>
  <c r="AI112" i="1"/>
  <c r="AI111" i="1"/>
  <c r="AI110" i="1"/>
  <c r="AI62" i="1"/>
  <c r="AI61" i="1"/>
  <c r="AI60" i="1"/>
  <c r="AI32" i="1"/>
  <c r="AI31" i="1"/>
  <c r="AI30" i="1"/>
  <c r="AI22" i="1"/>
  <c r="AI21" i="1"/>
  <c r="AI20" i="1"/>
  <c r="AI12" i="1"/>
  <c r="AI11" i="1"/>
  <c r="AI10" i="1"/>
  <c r="AI129" i="1"/>
  <c r="L150" i="1" l="1"/>
  <c r="L151" i="1"/>
  <c r="L152" i="1"/>
  <c r="AI59" i="1"/>
  <c r="AI65" i="1"/>
  <c r="AI119" i="1"/>
  <c r="AI109" i="1"/>
  <c r="L155" i="1" l="1"/>
  <c r="AI135" i="1"/>
  <c r="AI29" i="1"/>
  <c r="AI125" i="1" l="1"/>
  <c r="AI35" i="1" l="1"/>
  <c r="M157" i="1"/>
  <c r="AI115" i="1" l="1"/>
  <c r="AI9" i="1" l="1"/>
  <c r="AI15" i="1" l="1"/>
  <c r="AI25" i="1" l="1"/>
  <c r="F4" i="1" l="1"/>
  <c r="F5" i="1" s="1"/>
  <c r="G4" i="1" l="1"/>
  <c r="H4" i="1" l="1"/>
  <c r="H5" i="1" s="1"/>
  <c r="G5" i="1"/>
  <c r="I4" i="1" l="1"/>
  <c r="I5" i="1" s="1"/>
  <c r="J4" i="1" l="1"/>
  <c r="J5" i="1" s="1"/>
  <c r="K4" i="1" l="1"/>
  <c r="K5" i="1" s="1"/>
  <c r="L4" i="1" l="1"/>
  <c r="L5" i="1" s="1"/>
  <c r="M4" i="1" l="1"/>
  <c r="M5" i="1" s="1"/>
  <c r="N4" i="1" l="1"/>
  <c r="N5" i="1" s="1"/>
  <c r="O4" i="1" l="1"/>
  <c r="O5" i="1" s="1"/>
  <c r="P4" i="1" l="1"/>
  <c r="P5" i="1" s="1"/>
  <c r="Q4" i="1" l="1"/>
  <c r="Q5" i="1" s="1"/>
  <c r="R4" i="1" l="1"/>
  <c r="R5" i="1" s="1"/>
  <c r="S4" i="1" l="1"/>
  <c r="S5" i="1" s="1"/>
  <c r="T4" i="1" l="1"/>
  <c r="T5" i="1" s="1"/>
  <c r="U4" i="1" l="1"/>
  <c r="U5" i="1" s="1"/>
  <c r="V4" i="1" l="1"/>
  <c r="V5" i="1" s="1"/>
  <c r="W4" i="1" l="1"/>
  <c r="W5" i="1" s="1"/>
  <c r="X4" i="1" l="1"/>
  <c r="X5" i="1" s="1"/>
  <c r="Y4" i="1" l="1"/>
  <c r="Y5" i="1" s="1"/>
  <c r="Z4" i="1" l="1"/>
  <c r="Z5" i="1" s="1"/>
  <c r="AA4" i="1" l="1"/>
  <c r="AA5" i="1" s="1"/>
  <c r="AB4" i="1" l="1"/>
  <c r="AB5" i="1" s="1"/>
  <c r="AC4" i="1" l="1"/>
  <c r="AC5" i="1" s="1"/>
  <c r="AD4" i="1" l="1"/>
  <c r="AE4" i="1" l="1"/>
  <c r="AF4" i="1" s="1"/>
  <c r="AG4" i="1" s="1"/>
  <c r="AH4" i="1" s="1"/>
  <c r="AD5" i="1"/>
  <c r="AH5" i="1" l="1"/>
  <c r="AF5" i="1"/>
  <c r="AE5" i="1"/>
  <c r="AG5" i="1"/>
  <c r="AI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36" authorId="0" shapeId="0" xr:uid="{CF0D5635-08CF-4243-B759-C02C1777ED83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<sst xmlns="http://schemas.openxmlformats.org/spreadsheetml/2006/main" count="205" uniqueCount="45">
  <si>
    <t>start time</t>
    <phoneticPr fontId="2"/>
  </si>
  <si>
    <t>closing time</t>
    <phoneticPr fontId="2"/>
  </si>
  <si>
    <t>break time</t>
    <phoneticPr fontId="2"/>
  </si>
  <si>
    <t>total</t>
    <phoneticPr fontId="2"/>
  </si>
  <si>
    <t>working time</t>
    <phoneticPr fontId="2"/>
  </si>
  <si>
    <t>Prj.#1</t>
    <phoneticPr fontId="2"/>
  </si>
  <si>
    <t>Prj.#2</t>
    <phoneticPr fontId="2"/>
  </si>
  <si>
    <t>W.T.total</t>
    <phoneticPr fontId="2"/>
  </si>
  <si>
    <t>Working time report</t>
  </si>
  <si>
    <t>Project</t>
    <phoneticPr fontId="2"/>
  </si>
  <si>
    <t>days</t>
    <phoneticPr fontId="2"/>
  </si>
  <si>
    <t>Reporting date</t>
    <phoneticPr fontId="2"/>
  </si>
  <si>
    <t>day total</t>
    <phoneticPr fontId="2"/>
  </si>
  <si>
    <t>Topics / Remarks</t>
    <phoneticPr fontId="2"/>
  </si>
  <si>
    <t>STNet Authorizer</t>
    <phoneticPr fontId="2"/>
  </si>
  <si>
    <t>SDC Authorizer</t>
    <phoneticPr fontId="2"/>
  </si>
  <si>
    <t>No.</t>
    <phoneticPr fontId="2"/>
  </si>
  <si>
    <t>name</t>
    <phoneticPr fontId="2"/>
  </si>
  <si>
    <r>
      <t xml:space="preserve">    Business days </t>
    </r>
    <r>
      <rPr>
        <sz val="11"/>
        <color theme="1"/>
        <rFont val="ＭＳ Ｐゴシック"/>
        <family val="3"/>
        <charset val="128"/>
      </rPr>
      <t>：</t>
    </r>
  </si>
  <si>
    <t>Vuong Tien Manh</t>
  </si>
  <si>
    <t>Nguyen Manh Phuc</t>
  </si>
  <si>
    <t>Prj.#3</t>
  </si>
  <si>
    <t>ピカラ再構築</t>
  </si>
  <si>
    <t>break time</t>
  </si>
  <si>
    <t>Tran Van Long</t>
  </si>
  <si>
    <t>Nguyễn Việt Hùng</t>
  </si>
  <si>
    <t>Phung Duc Long</t>
  </si>
  <si>
    <t>Nguyen Dinh Dinh</t>
  </si>
  <si>
    <t>Total</t>
    <phoneticPr fontId="2"/>
  </si>
  <si>
    <t>ピカラ再構築</t>
    <phoneticPr fontId="2"/>
  </si>
  <si>
    <t>Prj.#4</t>
  </si>
  <si>
    <t>インセンティブ案件</t>
  </si>
  <si>
    <t>Quách Thị Vân Anh</t>
  </si>
  <si>
    <t>Ngô Thanh Tùng</t>
  </si>
  <si>
    <t>Prj.#5</t>
  </si>
  <si>
    <t>DANG THI DIEM MY</t>
  </si>
  <si>
    <t>Le Thanh Binh</t>
  </si>
  <si>
    <t>ピカラ再構築システムテスト</t>
  </si>
  <si>
    <t>Vi Van Hung</t>
  </si>
  <si>
    <t>Luong Thi Na</t>
  </si>
  <si>
    <t>保安統合システム機能改修</t>
  </si>
  <si>
    <t>Nguyen Thi Thu Phuong</t>
  </si>
  <si>
    <t>Duong Duc Chinh</t>
  </si>
  <si>
    <t>Nguyen Anh Quan</t>
  </si>
  <si>
    <r>
      <t xml:space="preserve">Occupancy rate  </t>
    </r>
    <r>
      <rPr>
        <sz val="11"/>
        <color theme="1"/>
        <rFont val="ＭＳ Ｐゴシック"/>
        <family val="3"/>
        <charset val="128"/>
      </rPr>
      <t>：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</si>
</sst>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[h]:mm"/>
    <numFmt numFmtId="166" formatCode="yyyy/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8"/>
      <color theme="1"/>
      <name val="Arial Black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</cellStyleXfs>
  <cellXfs count="103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20" fontId="3" fillId="3" borderId="1" xfId="0" applyNumberFormat="1" applyFont="1" applyFill="1" applyBorder="1"/>
    <xf numFmtId="0" fontId="3" fillId="0" borderId="3" xfId="0" applyFont="1" applyBorder="1"/>
    <xf numFmtId="165" fontId="3" fillId="3" borderId="1" xfId="0" applyNumberFormat="1" applyFont="1" applyFill="1" applyBorder="1"/>
    <xf numFmtId="0" fontId="3" fillId="0" borderId="7" xfId="0" applyFont="1" applyBorder="1"/>
    <xf numFmtId="165" fontId="3" fillId="3" borderId="8" xfId="0" applyNumberFormat="1" applyFont="1" applyFill="1" applyBorder="1"/>
    <xf numFmtId="0" fontId="3" fillId="0" borderId="12" xfId="0" applyFont="1" applyBorder="1"/>
    <xf numFmtId="0" fontId="5" fillId="0" borderId="0" xfId="0" applyFont="1"/>
    <xf numFmtId="0" fontId="3" fillId="0" borderId="13" xfId="0" applyFont="1" applyBorder="1"/>
    <xf numFmtId="0" fontId="7" fillId="0" borderId="0" xfId="0" applyFont="1"/>
    <xf numFmtId="14" fontId="3" fillId="0" borderId="0" xfId="0" applyNumberFormat="1" applyFont="1"/>
    <xf numFmtId="166" fontId="8" fillId="0" borderId="0" xfId="0" applyNumberFormat="1" applyFont="1" applyAlignment="1">
      <alignment horizontal="left" vertical="center"/>
    </xf>
    <xf numFmtId="0" fontId="5" fillId="0" borderId="13" xfId="0" applyFont="1" applyBorder="1"/>
    <xf numFmtId="0" fontId="4" fillId="6" borderId="9" xfId="0" applyFont="1" applyFill="1" applyBorder="1"/>
    <xf numFmtId="0" fontId="4" fillId="6" borderId="10" xfId="0" applyFont="1" applyFill="1" applyBorder="1"/>
    <xf numFmtId="165" fontId="4" fillId="6" borderId="16" xfId="0" applyNumberFormat="1" applyFont="1" applyFill="1" applyBorder="1"/>
    <xf numFmtId="165" fontId="4" fillId="6" borderId="11" xfId="0" applyNumberFormat="1" applyFont="1" applyFill="1" applyBorder="1"/>
    <xf numFmtId="0" fontId="3" fillId="3" borderId="0" xfId="0" applyFont="1" applyFill="1"/>
    <xf numFmtId="9" fontId="3" fillId="0" borderId="0" xfId="1" applyFont="1" applyAlignment="1">
      <alignment horizontal="right"/>
    </xf>
    <xf numFmtId="0" fontId="3" fillId="0" borderId="20" xfId="0" applyFont="1" applyBorder="1"/>
    <xf numFmtId="0" fontId="3" fillId="0" borderId="21" xfId="0" applyFont="1" applyBorder="1"/>
    <xf numFmtId="20" fontId="3" fillId="3" borderId="22" xfId="0" applyNumberFormat="1" applyFont="1" applyFill="1" applyBorder="1"/>
    <xf numFmtId="0" fontId="3" fillId="0" borderId="25" xfId="0" applyFont="1" applyBorder="1"/>
    <xf numFmtId="0" fontId="4" fillId="2" borderId="26" xfId="0" applyFont="1" applyFill="1" applyBorder="1"/>
    <xf numFmtId="0" fontId="4" fillId="2" borderId="27" xfId="0" applyFont="1" applyFill="1" applyBorder="1"/>
    <xf numFmtId="165" fontId="4" fillId="2" borderId="28" xfId="0" applyNumberFormat="1" applyFont="1" applyFill="1" applyBorder="1"/>
    <xf numFmtId="165" fontId="4" fillId="2" borderId="29" xfId="0" applyNumberFormat="1" applyFont="1" applyFill="1" applyBorder="1"/>
    <xf numFmtId="0" fontId="3" fillId="0" borderId="30" xfId="0" applyFont="1" applyBorder="1"/>
    <xf numFmtId="0" fontId="3" fillId="0" borderId="31" xfId="0" applyFont="1" applyBorder="1"/>
    <xf numFmtId="0" fontId="3" fillId="0" borderId="15" xfId="0" applyFont="1" applyBorder="1"/>
    <xf numFmtId="0" fontId="10" fillId="0" borderId="14" xfId="0" applyFont="1" applyBorder="1"/>
    <xf numFmtId="20" fontId="3" fillId="0" borderId="0" xfId="0" applyNumberFormat="1" applyFont="1"/>
    <xf numFmtId="20" fontId="3" fillId="3" borderId="32" xfId="0" applyNumberFormat="1" applyFont="1" applyFill="1" applyBorder="1"/>
    <xf numFmtId="20" fontId="3" fillId="3" borderId="33" xfId="0" applyNumberFormat="1" applyFont="1" applyFill="1" applyBorder="1"/>
    <xf numFmtId="165" fontId="3" fillId="3" borderId="34" xfId="0" applyNumberFormat="1" applyFont="1" applyFill="1" applyBorder="1"/>
    <xf numFmtId="165" fontId="3" fillId="3" borderId="33" xfId="0" applyNumberFormat="1" applyFont="1" applyFill="1" applyBorder="1"/>
    <xf numFmtId="165" fontId="3" fillId="0" borderId="0" xfId="0" applyNumberFormat="1" applyFont="1"/>
    <xf numFmtId="165" fontId="4" fillId="2" borderId="26" xfId="0" applyNumberFormat="1" applyFont="1" applyFill="1" applyBorder="1"/>
    <xf numFmtId="0" fontId="3" fillId="7" borderId="0" xfId="0" applyFont="1" applyFill="1"/>
    <xf numFmtId="0" fontId="13" fillId="0" borderId="4" xfId="0" applyFont="1" applyBorder="1"/>
    <xf numFmtId="164" fontId="3" fillId="8" borderId="36" xfId="0" applyNumberFormat="1" applyFont="1" applyFill="1" applyBorder="1" applyAlignment="1">
      <alignment horizontal="center"/>
    </xf>
    <xf numFmtId="164" fontId="3" fillId="8" borderId="37" xfId="0" applyNumberFormat="1" applyFont="1" applyFill="1" applyBorder="1" applyAlignment="1">
      <alignment horizontal="center"/>
    </xf>
    <xf numFmtId="164" fontId="3" fillId="0" borderId="37" xfId="0" applyNumberFormat="1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164" fontId="3" fillId="8" borderId="39" xfId="0" applyNumberFormat="1" applyFont="1" applyFill="1" applyBorder="1" applyAlignment="1">
      <alignment horizontal="center"/>
    </xf>
    <xf numFmtId="164" fontId="3" fillId="8" borderId="40" xfId="0" applyNumberFormat="1" applyFont="1" applyFill="1" applyBorder="1" applyAlignment="1">
      <alignment horizontal="center"/>
    </xf>
    <xf numFmtId="164" fontId="3" fillId="0" borderId="40" xfId="0" applyNumberFormat="1" applyFont="1" applyBorder="1" applyAlignment="1">
      <alignment horizontal="center"/>
    </xf>
    <xf numFmtId="0" fontId="3" fillId="0" borderId="41" xfId="0" applyFont="1" applyBorder="1"/>
    <xf numFmtId="165" fontId="3" fillId="4" borderId="42" xfId="0" applyNumberFormat="1" applyFont="1" applyFill="1" applyBorder="1"/>
    <xf numFmtId="165" fontId="3" fillId="4" borderId="43" xfId="0" applyNumberFormat="1" applyFont="1" applyFill="1" applyBorder="1"/>
    <xf numFmtId="165" fontId="4" fillId="6" borderId="44" xfId="0" applyNumberFormat="1" applyFont="1" applyFill="1" applyBorder="1"/>
    <xf numFmtId="165" fontId="4" fillId="0" borderId="45" xfId="0" applyNumberFormat="1" applyFont="1" applyBorder="1"/>
    <xf numFmtId="165" fontId="15" fillId="2" borderId="46" xfId="0" applyNumberFormat="1" applyFont="1" applyFill="1" applyBorder="1"/>
    <xf numFmtId="165" fontId="3" fillId="4" borderId="35" xfId="0" applyNumberFormat="1" applyFont="1" applyFill="1" applyBorder="1"/>
    <xf numFmtId="165" fontId="4" fillId="2" borderId="46" xfId="0" applyNumberFormat="1" applyFont="1" applyFill="1" applyBorder="1"/>
    <xf numFmtId="164" fontId="3" fillId="8" borderId="47" xfId="0" applyNumberFormat="1" applyFont="1" applyFill="1" applyBorder="1" applyAlignment="1">
      <alignment horizontal="center"/>
    </xf>
    <xf numFmtId="164" fontId="3" fillId="8" borderId="48" xfId="0" applyNumberFormat="1" applyFont="1" applyFill="1" applyBorder="1" applyAlignment="1">
      <alignment horizontal="center"/>
    </xf>
    <xf numFmtId="20" fontId="3" fillId="3" borderId="49" xfId="0" applyNumberFormat="1" applyFont="1" applyFill="1" applyBorder="1"/>
    <xf numFmtId="165" fontId="3" fillId="3" borderId="50" xfId="0" applyNumberFormat="1" applyFont="1" applyFill="1" applyBorder="1"/>
    <xf numFmtId="165" fontId="4" fillId="6" borderId="51" xfId="0" applyNumberFormat="1" applyFont="1" applyFill="1" applyBorder="1"/>
    <xf numFmtId="165" fontId="3" fillId="3" borderId="49" xfId="0" applyNumberFormat="1" applyFont="1" applyFill="1" applyBorder="1"/>
    <xf numFmtId="165" fontId="4" fillId="2" borderId="52" xfId="0" applyNumberFormat="1" applyFont="1" applyFill="1" applyBorder="1"/>
    <xf numFmtId="20" fontId="3" fillId="3" borderId="53" xfId="0" applyNumberFormat="1" applyFont="1" applyFill="1" applyBorder="1"/>
    <xf numFmtId="165" fontId="4" fillId="2" borderId="54" xfId="0" applyNumberFormat="1" applyFont="1" applyFill="1" applyBorder="1"/>
    <xf numFmtId="165" fontId="4" fillId="2" borderId="55" xfId="0" applyNumberFormat="1" applyFont="1" applyFill="1" applyBorder="1"/>
    <xf numFmtId="165" fontId="4" fillId="2" borderId="56" xfId="0" applyNumberFormat="1" applyFont="1" applyFill="1" applyBorder="1"/>
    <xf numFmtId="0" fontId="13" fillId="0" borderId="3" xfId="0" applyFont="1" applyBorder="1"/>
    <xf numFmtId="165" fontId="13" fillId="3" borderId="33" xfId="0" applyNumberFormat="1" applyFont="1" applyFill="1" applyBorder="1"/>
    <xf numFmtId="0" fontId="13" fillId="0" borderId="0" xfId="0" applyFont="1"/>
    <xf numFmtId="46" fontId="3" fillId="0" borderId="0" xfId="0" applyNumberFormat="1" applyFont="1"/>
    <xf numFmtId="0" fontId="14" fillId="0" borderId="19" xfId="0" applyFont="1" applyBorder="1"/>
    <xf numFmtId="0" fontId="14" fillId="0" borderId="3" xfId="0" applyFont="1" applyBorder="1"/>
    <xf numFmtId="0" fontId="14" fillId="0" borderId="25" xfId="0" applyFont="1" applyBorder="1"/>
    <xf numFmtId="0" fontId="14" fillId="0" borderId="3" xfId="0" applyFont="1" applyBorder="1" applyAlignment="1">
      <alignment wrapText="1"/>
    </xf>
    <xf numFmtId="165" fontId="13" fillId="3" borderId="1" xfId="0" applyNumberFormat="1" applyFont="1" applyFill="1" applyBorder="1"/>
    <xf numFmtId="165" fontId="13" fillId="3" borderId="49" xfId="0" applyNumberFormat="1" applyFont="1" applyFill="1" applyBorder="1"/>
    <xf numFmtId="165" fontId="16" fillId="0" borderId="45" xfId="0" applyNumberFormat="1" applyFont="1" applyBorder="1"/>
    <xf numFmtId="0" fontId="0" fillId="0" borderId="18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5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3" borderId="13" xfId="0" applyFont="1" applyFill="1" applyBorder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165" fontId="4" fillId="0" borderId="4" xfId="0" applyNumberFormat="1" applyFont="1" applyBorder="1"/>
    <xf numFmtId="0" fontId="4" fillId="0" borderId="5" xfId="0" applyFont="1" applyBorder="1"/>
    <xf numFmtId="0" fontId="3" fillId="0" borderId="18" xfId="0" applyFont="1" applyBorder="1" applyAlignment="1">
      <alignment horizontal="center" vertical="top"/>
    </xf>
    <xf numFmtId="166" fontId="6" fillId="0" borderId="0" xfId="0" applyNumberFormat="1" applyFont="1" applyAlignment="1">
      <alignment horizontal="left"/>
    </xf>
    <xf numFmtId="14" fontId="3" fillId="3" borderId="13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65" fontId="4" fillId="0" borderId="9" xfId="0" applyNumberFormat="1" applyFont="1" applyBorder="1" applyAlignment="1">
      <alignment horizontal="right"/>
    </xf>
    <xf numFmtId="0" fontId="4" fillId="0" borderId="17" xfId="0" applyFont="1" applyBorder="1" applyAlignment="1">
      <alignment horizontal="right"/>
    </xf>
  </cellXfs>
  <cellStyles count="7">
    <cellStyle name="Normal" xfId="0" builtinId="0"/>
    <cellStyle name="Normal 2" xfId="2" xr:uid="{C3C47CE2-B6BC-42E5-B951-0939354725E8}"/>
    <cellStyle name="Normal 3" xfId="3" xr:uid="{313F9049-15DB-4BC4-9AB0-7F7C4A943C6B}"/>
    <cellStyle name="Normal 4" xfId="5" xr:uid="{998B01D0-B798-4744-A3FB-5187EBCA3564}"/>
    <cellStyle name="Normal 4 2" xfId="6" xr:uid="{CCFFCDB9-CF11-4A1C-8D7B-6D93F0863695}"/>
    <cellStyle name="Percent" xfId="1" builtinId="5"/>
    <cellStyle name="標準 2" xfId="4" xr:uid="{42F8B86F-077E-4097-9D86-1AF6B9B7BBE1}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CCFF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148</xdr:row>
      <xdr:rowOff>0</xdr:rowOff>
    </xdr:from>
    <xdr:to>
      <xdr:col>35</xdr:col>
      <xdr:colOff>0</xdr:colOff>
      <xdr:row>155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359588" y="6622676"/>
          <a:ext cx="9872383" cy="1064559"/>
        </a:xfrm>
        <a:prstGeom prst="rect">
          <a:avLst/>
        </a:prstGeom>
        <a:solidFill>
          <a:srgbClr val="FFFFCC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8960A1-4482-42E9-A28C-50EC0DFE723E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63"/>
  <sheetViews>
    <sheetView tabSelected="1" view="pageBreakPreview" zoomScale="70" zoomScaleNormal="7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G97" sqref="AG97:AG105"/>
    </sheetView>
  </sheetViews>
  <sheetFormatPr defaultColWidth="9" defaultRowHeight="15.75"/>
  <cols>
    <col min="1" max="1" width="4.5703125" style="1" customWidth="1"/>
    <col min="2" max="2" width="36.5703125" style="1" customWidth="1"/>
    <col min="3" max="3" width="13.7109375" style="1" customWidth="1"/>
    <col min="4" max="4" width="14.85546875" style="1" customWidth="1"/>
    <col min="5" max="32" width="7.7109375" style="1" customWidth="1"/>
    <col min="33" max="33" width="7.85546875" style="1" customWidth="1"/>
    <col min="34" max="34" width="7.7109375" style="1" customWidth="1"/>
    <col min="35" max="35" width="14.140625" style="1" customWidth="1"/>
    <col min="36" max="36" width="16.42578125" style="1" customWidth="1"/>
    <col min="37" max="37" width="10.140625" style="1" bestFit="1" customWidth="1"/>
    <col min="38" max="16384" width="9" style="1"/>
  </cols>
  <sheetData>
    <row r="1" spans="1:37" ht="27">
      <c r="A1" s="13" t="s">
        <v>8</v>
      </c>
      <c r="D1" s="14"/>
      <c r="E1" s="96">
        <v>45962</v>
      </c>
      <c r="F1" s="96"/>
      <c r="G1" s="96"/>
    </row>
    <row r="2" spans="1:37">
      <c r="E2" s="15" t="s">
        <v>18</v>
      </c>
      <c r="H2" s="21">
        <v>20</v>
      </c>
      <c r="I2" s="1" t="s">
        <v>10</v>
      </c>
      <c r="AJ2" s="35"/>
    </row>
    <row r="3" spans="1:37" ht="16.5" thickBot="1">
      <c r="H3" s="35"/>
    </row>
    <row r="4" spans="1:37">
      <c r="A4" s="34" t="s">
        <v>16</v>
      </c>
      <c r="B4" s="31" t="s">
        <v>17</v>
      </c>
      <c r="C4" s="31"/>
      <c r="D4" s="31"/>
      <c r="E4" s="44">
        <f>E1</f>
        <v>45962</v>
      </c>
      <c r="F4" s="45">
        <f>E4+1</f>
        <v>45963</v>
      </c>
      <c r="G4" s="46">
        <f t="shared" ref="G4:AE4" si="0">F4+1</f>
        <v>45964</v>
      </c>
      <c r="H4" s="46">
        <f t="shared" si="0"/>
        <v>45965</v>
      </c>
      <c r="I4" s="46">
        <f t="shared" si="0"/>
        <v>45966</v>
      </c>
      <c r="J4" s="46">
        <f t="shared" si="0"/>
        <v>45967</v>
      </c>
      <c r="K4" s="46">
        <f t="shared" si="0"/>
        <v>45968</v>
      </c>
      <c r="L4" s="45">
        <f t="shared" si="0"/>
        <v>45969</v>
      </c>
      <c r="M4" s="45">
        <f t="shared" si="0"/>
        <v>45970</v>
      </c>
      <c r="N4" s="46">
        <f t="shared" si="0"/>
        <v>45971</v>
      </c>
      <c r="O4" s="46">
        <f t="shared" si="0"/>
        <v>45972</v>
      </c>
      <c r="P4" s="46">
        <f t="shared" si="0"/>
        <v>45973</v>
      </c>
      <c r="Q4" s="46">
        <f t="shared" si="0"/>
        <v>45974</v>
      </c>
      <c r="R4" s="46">
        <f t="shared" si="0"/>
        <v>45975</v>
      </c>
      <c r="S4" s="45">
        <f t="shared" si="0"/>
        <v>45976</v>
      </c>
      <c r="T4" s="45">
        <f t="shared" si="0"/>
        <v>45977</v>
      </c>
      <c r="U4" s="46">
        <f t="shared" si="0"/>
        <v>45978</v>
      </c>
      <c r="V4" s="46">
        <f t="shared" si="0"/>
        <v>45979</v>
      </c>
      <c r="W4" s="46">
        <f t="shared" si="0"/>
        <v>45980</v>
      </c>
      <c r="X4" s="46">
        <f t="shared" si="0"/>
        <v>45981</v>
      </c>
      <c r="Y4" s="46">
        <f t="shared" si="0"/>
        <v>45982</v>
      </c>
      <c r="Z4" s="45">
        <f t="shared" si="0"/>
        <v>45983</v>
      </c>
      <c r="AA4" s="45">
        <f t="shared" si="0"/>
        <v>45984</v>
      </c>
      <c r="AB4" s="46">
        <f t="shared" si="0"/>
        <v>45985</v>
      </c>
      <c r="AC4" s="46">
        <f t="shared" si="0"/>
        <v>45986</v>
      </c>
      <c r="AD4" s="46">
        <f t="shared" si="0"/>
        <v>45987</v>
      </c>
      <c r="AE4" s="46">
        <f t="shared" si="0"/>
        <v>45988</v>
      </c>
      <c r="AF4" s="46">
        <f t="shared" ref="AF4" si="1">AE4+1</f>
        <v>45989</v>
      </c>
      <c r="AG4" s="45">
        <f t="shared" ref="AG4" si="2">AF4+1</f>
        <v>45990</v>
      </c>
      <c r="AH4" s="59">
        <f t="shared" ref="AH4" si="3">AG4+1</f>
        <v>45991</v>
      </c>
      <c r="AI4" s="47" t="s">
        <v>28</v>
      </c>
    </row>
    <row r="5" spans="1:37" ht="16.5" thickBot="1">
      <c r="A5" s="33"/>
      <c r="B5" s="32"/>
      <c r="C5" s="32"/>
      <c r="D5" s="32"/>
      <c r="E5" s="48" t="str">
        <f>TEXT(E4, "aaa")</f>
        <v>Sat</v>
      </c>
      <c r="F5" s="49" t="str">
        <f t="shared" ref="F5:AD5" si="4">TEXT(F4, "aaa")</f>
        <v>Sun</v>
      </c>
      <c r="G5" s="50" t="str">
        <f t="shared" si="4"/>
        <v>Mon</v>
      </c>
      <c r="H5" s="50" t="str">
        <f t="shared" si="4"/>
        <v>Tue</v>
      </c>
      <c r="I5" s="50" t="str">
        <f t="shared" si="4"/>
        <v>Wed</v>
      </c>
      <c r="J5" s="50" t="str">
        <f t="shared" si="4"/>
        <v>Thu</v>
      </c>
      <c r="K5" s="50" t="str">
        <f t="shared" si="4"/>
        <v>Fri</v>
      </c>
      <c r="L5" s="49" t="str">
        <f t="shared" si="4"/>
        <v>Sat</v>
      </c>
      <c r="M5" s="49" t="str">
        <f t="shared" si="4"/>
        <v>Sun</v>
      </c>
      <c r="N5" s="50" t="str">
        <f t="shared" si="4"/>
        <v>Mon</v>
      </c>
      <c r="O5" s="50" t="str">
        <f t="shared" si="4"/>
        <v>Tue</v>
      </c>
      <c r="P5" s="50" t="str">
        <f t="shared" si="4"/>
        <v>Wed</v>
      </c>
      <c r="Q5" s="50" t="str">
        <f t="shared" si="4"/>
        <v>Thu</v>
      </c>
      <c r="R5" s="50" t="str">
        <f t="shared" si="4"/>
        <v>Fri</v>
      </c>
      <c r="S5" s="49" t="str">
        <f t="shared" si="4"/>
        <v>Sat</v>
      </c>
      <c r="T5" s="49" t="str">
        <f t="shared" si="4"/>
        <v>Sun</v>
      </c>
      <c r="U5" s="50" t="str">
        <f t="shared" si="4"/>
        <v>Mon</v>
      </c>
      <c r="V5" s="50" t="str">
        <f t="shared" si="4"/>
        <v>Tue</v>
      </c>
      <c r="W5" s="50" t="str">
        <f t="shared" si="4"/>
        <v>Wed</v>
      </c>
      <c r="X5" s="50" t="str">
        <f t="shared" si="4"/>
        <v>Thu</v>
      </c>
      <c r="Y5" s="50" t="str">
        <f t="shared" si="4"/>
        <v>Fri</v>
      </c>
      <c r="Z5" s="49" t="str">
        <f t="shared" si="4"/>
        <v>Sat</v>
      </c>
      <c r="AA5" s="49" t="str">
        <f t="shared" si="4"/>
        <v>Sun</v>
      </c>
      <c r="AB5" s="50" t="str">
        <f t="shared" si="4"/>
        <v>Mon</v>
      </c>
      <c r="AC5" s="50" t="str">
        <f t="shared" si="4"/>
        <v>Tue</v>
      </c>
      <c r="AD5" s="50" t="str">
        <f t="shared" si="4"/>
        <v>Wed</v>
      </c>
      <c r="AE5" s="50" t="str">
        <f t="shared" ref="AE5:AG5" si="5">TEXT(AE4, "aaa")</f>
        <v>Thu</v>
      </c>
      <c r="AF5" s="50" t="str">
        <f t="shared" si="5"/>
        <v>Fri</v>
      </c>
      <c r="AG5" s="49" t="str">
        <f t="shared" si="5"/>
        <v>Sat</v>
      </c>
      <c r="AH5" s="60" t="str">
        <f t="shared" ref="AH5" si="6">TEXT(AH4, "aaa")</f>
        <v>Sun</v>
      </c>
      <c r="AI5" s="51"/>
      <c r="AK5" s="35"/>
    </row>
    <row r="6" spans="1:37" ht="16.5" thickTop="1">
      <c r="A6" s="95">
        <v>1</v>
      </c>
      <c r="B6" s="74" t="s">
        <v>20</v>
      </c>
      <c r="C6" s="23" t="s">
        <v>0</v>
      </c>
      <c r="D6" s="24"/>
      <c r="E6" s="36"/>
      <c r="F6" s="25"/>
      <c r="G6" s="25">
        <v>0.35416666666666669</v>
      </c>
      <c r="H6" s="25">
        <v>0.35416666666666669</v>
      </c>
      <c r="I6" s="25">
        <v>0.35416666666666669</v>
      </c>
      <c r="J6" s="25">
        <v>0.35416666666666669</v>
      </c>
      <c r="K6" s="25">
        <v>0.35416666666666669</v>
      </c>
      <c r="L6" s="25"/>
      <c r="M6" s="25"/>
      <c r="N6" s="25">
        <v>0.35416666666666669</v>
      </c>
      <c r="O6" s="25">
        <v>0.35416666666666669</v>
      </c>
      <c r="P6" s="25">
        <v>0.35416666666666669</v>
      </c>
      <c r="Q6" s="25">
        <v>0.35416666666666669</v>
      </c>
      <c r="R6" s="25">
        <v>0.35416666666666669</v>
      </c>
      <c r="S6" s="25"/>
      <c r="T6" s="25"/>
      <c r="U6" s="25"/>
      <c r="V6" s="25">
        <v>0.39583333333333331</v>
      </c>
      <c r="W6" s="25">
        <v>0.35416666666666669</v>
      </c>
      <c r="X6" s="25">
        <v>0.35416666666666669</v>
      </c>
      <c r="Y6" s="25">
        <v>0.35416666666666669</v>
      </c>
      <c r="Z6" s="25"/>
      <c r="AA6" s="25"/>
      <c r="AB6" s="25">
        <v>0.35416666666666669</v>
      </c>
      <c r="AC6" s="25">
        <v>0.35416666666666669</v>
      </c>
      <c r="AD6" s="25">
        <v>0.35416666666666669</v>
      </c>
      <c r="AE6" s="25">
        <v>0.35416666666666669</v>
      </c>
      <c r="AF6" s="25">
        <v>0.35416666666666669</v>
      </c>
      <c r="AG6" s="25"/>
      <c r="AH6" s="66"/>
      <c r="AI6" s="52"/>
      <c r="AJ6" s="35"/>
    </row>
    <row r="7" spans="1:37">
      <c r="A7" s="82"/>
      <c r="B7" s="75" t="s">
        <v>22</v>
      </c>
      <c r="C7" s="3" t="s">
        <v>1</v>
      </c>
      <c r="D7" s="4"/>
      <c r="E7" s="37"/>
      <c r="F7" s="5"/>
      <c r="G7" s="5">
        <v>0.75</v>
      </c>
      <c r="H7" s="5">
        <v>0.75</v>
      </c>
      <c r="I7" s="5">
        <v>0.75</v>
      </c>
      <c r="J7" s="5">
        <v>0.75</v>
      </c>
      <c r="K7" s="5">
        <v>0.75</v>
      </c>
      <c r="L7" s="5"/>
      <c r="M7" s="5"/>
      <c r="N7" s="5">
        <v>0.75</v>
      </c>
      <c r="O7" s="5">
        <v>0.75</v>
      </c>
      <c r="P7" s="5">
        <v>0.75</v>
      </c>
      <c r="Q7" s="5">
        <v>0.75</v>
      </c>
      <c r="R7" s="5">
        <v>0.75</v>
      </c>
      <c r="S7" s="5"/>
      <c r="T7" s="5"/>
      <c r="U7" s="5"/>
      <c r="V7" s="5">
        <v>0.75</v>
      </c>
      <c r="W7" s="5">
        <v>0.75</v>
      </c>
      <c r="X7" s="5">
        <v>0.75</v>
      </c>
      <c r="Y7" s="5">
        <v>0.75</v>
      </c>
      <c r="Z7" s="5"/>
      <c r="AA7" s="5"/>
      <c r="AB7" s="5">
        <v>0.75</v>
      </c>
      <c r="AC7" s="5">
        <v>0.75</v>
      </c>
      <c r="AD7" s="5">
        <v>0.75</v>
      </c>
      <c r="AE7" s="5">
        <v>0.75</v>
      </c>
      <c r="AF7" s="5">
        <v>0.75</v>
      </c>
      <c r="AG7" s="5"/>
      <c r="AH7" s="61"/>
      <c r="AI7" s="52"/>
    </row>
    <row r="8" spans="1:37" ht="16.5" thickBot="1">
      <c r="A8" s="82"/>
      <c r="B8" s="75"/>
      <c r="C8" s="8" t="s">
        <v>23</v>
      </c>
      <c r="D8" s="10"/>
      <c r="E8" s="38"/>
      <c r="F8" s="9"/>
      <c r="G8" s="9">
        <v>6.25E-2</v>
      </c>
      <c r="H8" s="9">
        <v>6.25E-2</v>
      </c>
      <c r="I8" s="9">
        <v>6.25E-2</v>
      </c>
      <c r="J8" s="9">
        <v>6.25E-2</v>
      </c>
      <c r="K8" s="9">
        <v>6.25E-2</v>
      </c>
      <c r="L8" s="9"/>
      <c r="M8" s="9"/>
      <c r="N8" s="9">
        <v>6.25E-2</v>
      </c>
      <c r="O8" s="9">
        <v>6.25E-2</v>
      </c>
      <c r="P8" s="9">
        <v>6.25E-2</v>
      </c>
      <c r="Q8" s="9">
        <v>6.25E-2</v>
      </c>
      <c r="R8" s="9">
        <v>6.25E-2</v>
      </c>
      <c r="S8" s="9"/>
      <c r="T8" s="9"/>
      <c r="U8" s="9"/>
      <c r="V8" s="9">
        <v>6.25E-2</v>
      </c>
      <c r="W8" s="9">
        <v>6.25E-2</v>
      </c>
      <c r="X8" s="9">
        <v>6.25E-2</v>
      </c>
      <c r="Y8" s="9">
        <v>6.25E-2</v>
      </c>
      <c r="Z8" s="9"/>
      <c r="AA8" s="9"/>
      <c r="AB8" s="9">
        <v>6.25E-2</v>
      </c>
      <c r="AC8" s="9">
        <v>6.25E-2</v>
      </c>
      <c r="AD8" s="9">
        <v>6.25E-2</v>
      </c>
      <c r="AE8" s="9">
        <v>6.25E-2</v>
      </c>
      <c r="AF8" s="9">
        <v>6.25E-2</v>
      </c>
      <c r="AG8" s="9"/>
      <c r="AH8" s="62"/>
      <c r="AI8" s="53"/>
      <c r="AK8" s="35"/>
    </row>
    <row r="9" spans="1:37" ht="16.5" thickTop="1">
      <c r="A9" s="82"/>
      <c r="B9" s="75"/>
      <c r="C9" s="17" t="s">
        <v>12</v>
      </c>
      <c r="D9" s="18"/>
      <c r="E9" s="19">
        <f t="shared" ref="E9:G9" si="7">E7-E6-E8</f>
        <v>0</v>
      </c>
      <c r="F9" s="20">
        <f t="shared" si="7"/>
        <v>0</v>
      </c>
      <c r="G9" s="20">
        <f t="shared" si="7"/>
        <v>0.33333333333333331</v>
      </c>
      <c r="H9" s="20">
        <f t="shared" ref="H9:K9" si="8">H7-H6-H8</f>
        <v>0.33333333333333331</v>
      </c>
      <c r="I9" s="20">
        <f t="shared" si="8"/>
        <v>0.33333333333333331</v>
      </c>
      <c r="J9" s="20">
        <f t="shared" si="8"/>
        <v>0.33333333333333331</v>
      </c>
      <c r="K9" s="20">
        <f t="shared" si="8"/>
        <v>0.33333333333333331</v>
      </c>
      <c r="L9" s="20">
        <f t="shared" ref="L9:AF9" si="9">L7-L6-L8</f>
        <v>0</v>
      </c>
      <c r="M9" s="20">
        <f t="shared" si="9"/>
        <v>0</v>
      </c>
      <c r="N9" s="20">
        <f t="shared" si="9"/>
        <v>0.33333333333333331</v>
      </c>
      <c r="O9" s="20">
        <f t="shared" si="9"/>
        <v>0.33333333333333331</v>
      </c>
      <c r="P9" s="20">
        <f t="shared" si="9"/>
        <v>0.33333333333333331</v>
      </c>
      <c r="Q9" s="20">
        <f t="shared" si="9"/>
        <v>0.33333333333333331</v>
      </c>
      <c r="R9" s="20">
        <f t="shared" si="9"/>
        <v>0.33333333333333331</v>
      </c>
      <c r="S9" s="20">
        <f t="shared" ref="S9:Y9" si="10">S7-S6-S8</f>
        <v>0</v>
      </c>
      <c r="T9" s="20">
        <f t="shared" si="10"/>
        <v>0</v>
      </c>
      <c r="U9" s="20">
        <f t="shared" si="10"/>
        <v>0</v>
      </c>
      <c r="V9" s="20">
        <f t="shared" si="10"/>
        <v>0.29166666666666669</v>
      </c>
      <c r="W9" s="20">
        <f t="shared" si="10"/>
        <v>0.33333333333333331</v>
      </c>
      <c r="X9" s="20">
        <f t="shared" si="10"/>
        <v>0.33333333333333331</v>
      </c>
      <c r="Y9" s="20">
        <f t="shared" si="10"/>
        <v>0.33333333333333331</v>
      </c>
      <c r="Z9" s="20">
        <f t="shared" si="9"/>
        <v>0</v>
      </c>
      <c r="AA9" s="20">
        <f t="shared" si="9"/>
        <v>0</v>
      </c>
      <c r="AB9" s="20">
        <f t="shared" si="9"/>
        <v>0.33333333333333331</v>
      </c>
      <c r="AC9" s="20">
        <f t="shared" si="9"/>
        <v>0.33333333333333331</v>
      </c>
      <c r="AD9" s="20">
        <f t="shared" si="9"/>
        <v>0.33333333333333331</v>
      </c>
      <c r="AE9" s="20">
        <f t="shared" si="9"/>
        <v>0.33333333333333331</v>
      </c>
      <c r="AF9" s="20">
        <f t="shared" si="9"/>
        <v>0.33333333333333331</v>
      </c>
      <c r="AG9" s="20">
        <f t="shared" ref="AG9:AH9" si="11">AG7-AG6-AG8</f>
        <v>0</v>
      </c>
      <c r="AH9" s="63">
        <f t="shared" si="11"/>
        <v>0</v>
      </c>
      <c r="AI9" s="54">
        <f t="shared" ref="AI9:AI15" si="12">SUM(E9:AH9)</f>
        <v>6.2916666666666652</v>
      </c>
      <c r="AK9" s="35"/>
    </row>
    <row r="10" spans="1:37">
      <c r="A10" s="82"/>
      <c r="B10" s="75"/>
      <c r="C10" s="2" t="s">
        <v>4</v>
      </c>
      <c r="D10" s="43" t="s">
        <v>5</v>
      </c>
      <c r="E10" s="39"/>
      <c r="F10" s="7"/>
      <c r="G10" s="78">
        <v>0.33333333333333331</v>
      </c>
      <c r="H10" s="78">
        <v>0.33333333333333331</v>
      </c>
      <c r="I10" s="78">
        <v>0.33333333333333331</v>
      </c>
      <c r="J10" s="78">
        <v>0.33333333333333331</v>
      </c>
      <c r="K10" s="78">
        <v>0.33333333333333331</v>
      </c>
      <c r="L10" s="78"/>
      <c r="M10" s="78"/>
      <c r="N10" s="78">
        <v>0.33333333333333331</v>
      </c>
      <c r="O10" s="78">
        <v>0.33333333333333331</v>
      </c>
      <c r="P10" s="78">
        <v>0.33333333333333331</v>
      </c>
      <c r="Q10" s="78">
        <v>0.33333333333333331</v>
      </c>
      <c r="R10" s="78">
        <v>0.33333333333333331</v>
      </c>
      <c r="S10" s="78"/>
      <c r="T10" s="78"/>
      <c r="U10" s="78">
        <v>0</v>
      </c>
      <c r="V10" s="78">
        <v>0.29166666666666669</v>
      </c>
      <c r="W10" s="78">
        <v>0.33333333333333331</v>
      </c>
      <c r="X10" s="78">
        <v>0.33333333333333331</v>
      </c>
      <c r="Y10" s="78">
        <v>0.33333333333333331</v>
      </c>
      <c r="Z10" s="78"/>
      <c r="AA10" s="78"/>
      <c r="AB10" s="78">
        <v>0.33333333333333331</v>
      </c>
      <c r="AC10" s="78">
        <v>0.33333333333333331</v>
      </c>
      <c r="AD10" s="78">
        <v>0.33333333333333331</v>
      </c>
      <c r="AE10" s="78">
        <v>0.33333333333333331</v>
      </c>
      <c r="AF10" s="78">
        <v>0.33333333333333331</v>
      </c>
      <c r="AG10" s="78"/>
      <c r="AH10" s="79"/>
      <c r="AI10" s="80">
        <f t="shared" si="12"/>
        <v>6.2916666666666652</v>
      </c>
    </row>
    <row r="11" spans="1:37">
      <c r="A11" s="82"/>
      <c r="B11" s="75"/>
      <c r="C11" s="6"/>
      <c r="D11" s="3" t="s">
        <v>6</v>
      </c>
      <c r="E11" s="71"/>
      <c r="F11" s="78"/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/>
      <c r="M11" s="7"/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/>
      <c r="T11" s="7"/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/>
      <c r="AA11" s="7"/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/>
      <c r="AH11" s="64"/>
      <c r="AI11" s="55">
        <f t="shared" si="12"/>
        <v>0</v>
      </c>
    </row>
    <row r="12" spans="1:37">
      <c r="A12" s="82"/>
      <c r="B12" s="75"/>
      <c r="C12" s="6"/>
      <c r="D12" s="3" t="s">
        <v>21</v>
      </c>
      <c r="E12" s="39"/>
      <c r="F12" s="7"/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/>
      <c r="M12" s="7"/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/>
      <c r="T12" s="7"/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/>
      <c r="AA12" s="7"/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/>
      <c r="AH12" s="64"/>
      <c r="AI12" s="55">
        <f t="shared" si="12"/>
        <v>0</v>
      </c>
    </row>
    <row r="13" spans="1:37">
      <c r="A13" s="82"/>
      <c r="B13" s="75"/>
      <c r="C13" s="6"/>
      <c r="D13" s="3" t="s">
        <v>30</v>
      </c>
      <c r="E13" s="39"/>
      <c r="F13" s="7"/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/>
      <c r="M13" s="7"/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/>
      <c r="T13" s="7"/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/>
      <c r="AA13" s="7"/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/>
      <c r="AH13" s="64"/>
      <c r="AI13" s="55">
        <f t="shared" si="12"/>
        <v>0</v>
      </c>
    </row>
    <row r="14" spans="1:37" ht="16.5" thickBot="1">
      <c r="A14" s="82"/>
      <c r="B14" s="75"/>
      <c r="C14" s="6"/>
      <c r="D14" s="3" t="s">
        <v>34</v>
      </c>
      <c r="E14" s="39"/>
      <c r="F14" s="7"/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/>
      <c r="M14" s="7"/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/>
      <c r="T14" s="7"/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/>
      <c r="AA14" s="7"/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/>
      <c r="AH14" s="64"/>
      <c r="AI14" s="55">
        <f t="shared" si="12"/>
        <v>0</v>
      </c>
    </row>
    <row r="15" spans="1:37" ht="17.25" thickTop="1" thickBot="1">
      <c r="A15" s="83"/>
      <c r="B15" s="76"/>
      <c r="C15" s="27" t="s">
        <v>7</v>
      </c>
      <c r="D15" s="28"/>
      <c r="E15" s="29">
        <f>SUM(E10:E14)</f>
        <v>0</v>
      </c>
      <c r="F15" s="30">
        <f>SUM(F10:F14)</f>
        <v>0</v>
      </c>
      <c r="G15" s="30">
        <f t="shared" ref="G15:AG15" si="13">SUM(G10:G14)</f>
        <v>0.33333333333333331</v>
      </c>
      <c r="H15" s="30">
        <f t="shared" si="13"/>
        <v>0.33333333333333331</v>
      </c>
      <c r="I15" s="30">
        <f t="shared" si="13"/>
        <v>0.33333333333333331</v>
      </c>
      <c r="J15" s="30">
        <f t="shared" si="13"/>
        <v>0.33333333333333331</v>
      </c>
      <c r="K15" s="30">
        <f t="shared" si="13"/>
        <v>0.33333333333333331</v>
      </c>
      <c r="L15" s="30">
        <f t="shared" si="13"/>
        <v>0</v>
      </c>
      <c r="M15" s="30">
        <f t="shared" si="13"/>
        <v>0</v>
      </c>
      <c r="N15" s="30">
        <f t="shared" si="13"/>
        <v>0.33333333333333331</v>
      </c>
      <c r="O15" s="30">
        <f t="shared" si="13"/>
        <v>0.33333333333333331</v>
      </c>
      <c r="P15" s="30">
        <f t="shared" si="13"/>
        <v>0.33333333333333331</v>
      </c>
      <c r="Q15" s="30">
        <f t="shared" si="13"/>
        <v>0.33333333333333331</v>
      </c>
      <c r="R15" s="30">
        <f t="shared" si="13"/>
        <v>0.33333333333333331</v>
      </c>
      <c r="S15" s="30">
        <f t="shared" si="13"/>
        <v>0</v>
      </c>
      <c r="T15" s="30">
        <f t="shared" si="13"/>
        <v>0</v>
      </c>
      <c r="U15" s="30">
        <f t="shared" si="13"/>
        <v>0</v>
      </c>
      <c r="V15" s="30">
        <f t="shared" si="13"/>
        <v>0.29166666666666669</v>
      </c>
      <c r="W15" s="30">
        <f t="shared" si="13"/>
        <v>0.33333333333333331</v>
      </c>
      <c r="X15" s="30">
        <f t="shared" si="13"/>
        <v>0.33333333333333331</v>
      </c>
      <c r="Y15" s="30">
        <f t="shared" si="13"/>
        <v>0.33333333333333331</v>
      </c>
      <c r="Z15" s="30">
        <f t="shared" si="13"/>
        <v>0</v>
      </c>
      <c r="AA15" s="30">
        <f t="shared" si="13"/>
        <v>0</v>
      </c>
      <c r="AB15" s="30">
        <f t="shared" si="13"/>
        <v>0.33333333333333331</v>
      </c>
      <c r="AC15" s="30">
        <f t="shared" si="13"/>
        <v>0.33333333333333331</v>
      </c>
      <c r="AD15" s="30">
        <f t="shared" si="13"/>
        <v>0.33333333333333331</v>
      </c>
      <c r="AE15" s="30">
        <f t="shared" si="13"/>
        <v>0.33333333333333331</v>
      </c>
      <c r="AF15" s="30">
        <f t="shared" si="13"/>
        <v>0.33333333333333331</v>
      </c>
      <c r="AG15" s="30">
        <f t="shared" si="13"/>
        <v>0</v>
      </c>
      <c r="AH15" s="65">
        <f t="shared" ref="AH15" si="14">SUM(AH10:AH14)</f>
        <v>0</v>
      </c>
      <c r="AI15" s="56">
        <f t="shared" si="12"/>
        <v>6.2916666666666652</v>
      </c>
    </row>
    <row r="16" spans="1:37" ht="16.5" thickTop="1">
      <c r="A16" s="95">
        <v>2</v>
      </c>
      <c r="B16" s="74" t="s">
        <v>36</v>
      </c>
      <c r="C16" s="23" t="s">
        <v>0</v>
      </c>
      <c r="D16" s="24"/>
      <c r="E16" s="36"/>
      <c r="F16" s="25"/>
      <c r="G16" s="25">
        <v>0.35416666666666669</v>
      </c>
      <c r="H16" s="25">
        <v>0.35416666666666669</v>
      </c>
      <c r="I16" s="25">
        <v>0.35416666666666669</v>
      </c>
      <c r="J16" s="25">
        <v>0.35416666666666669</v>
      </c>
      <c r="K16" s="25">
        <v>0.35416666666666669</v>
      </c>
      <c r="L16" s="25"/>
      <c r="M16" s="25"/>
      <c r="N16" s="25">
        <v>0.35416666666666669</v>
      </c>
      <c r="O16" s="25">
        <v>0.35416666666666669</v>
      </c>
      <c r="P16" s="25">
        <v>0.35416666666666669</v>
      </c>
      <c r="Q16" s="25">
        <v>0.35416666666666669</v>
      </c>
      <c r="R16" s="25"/>
      <c r="S16" s="25"/>
      <c r="T16" s="25"/>
      <c r="U16" s="25">
        <v>0.35416666666666669</v>
      </c>
      <c r="V16" s="25">
        <v>0.35416666666666669</v>
      </c>
      <c r="W16" s="25">
        <v>0.35416666666666669</v>
      </c>
      <c r="X16" s="25">
        <v>0.35416666666666669</v>
      </c>
      <c r="Y16" s="25">
        <v>0.35416666666666669</v>
      </c>
      <c r="Z16" s="25"/>
      <c r="AA16" s="25"/>
      <c r="AB16" s="25">
        <v>0.35416666666666669</v>
      </c>
      <c r="AC16" s="25">
        <v>0.35416666666666669</v>
      </c>
      <c r="AD16" s="25">
        <v>0.35416666666666669</v>
      </c>
      <c r="AE16" s="25">
        <v>0.35416666666666669</v>
      </c>
      <c r="AF16" s="25">
        <v>0.35416666666666669</v>
      </c>
      <c r="AG16" s="25"/>
      <c r="AH16" s="66"/>
      <c r="AI16" s="57"/>
    </row>
    <row r="17" spans="1:36">
      <c r="A17" s="82"/>
      <c r="B17" s="75" t="s">
        <v>22</v>
      </c>
      <c r="C17" s="3" t="s">
        <v>1</v>
      </c>
      <c r="D17" s="4"/>
      <c r="E17" s="37"/>
      <c r="F17" s="5"/>
      <c r="G17" s="5">
        <v>0.75</v>
      </c>
      <c r="H17" s="5">
        <v>0.75</v>
      </c>
      <c r="I17" s="5">
        <v>0.75</v>
      </c>
      <c r="J17" s="5">
        <v>0.75</v>
      </c>
      <c r="K17" s="5">
        <v>0.75</v>
      </c>
      <c r="L17" s="5"/>
      <c r="M17" s="5"/>
      <c r="N17" s="5">
        <v>0.75</v>
      </c>
      <c r="O17" s="5">
        <v>0.75</v>
      </c>
      <c r="P17" s="5">
        <v>0.75</v>
      </c>
      <c r="Q17" s="5">
        <v>0.75</v>
      </c>
      <c r="R17" s="5"/>
      <c r="S17" s="5"/>
      <c r="T17" s="5"/>
      <c r="U17" s="5">
        <v>0.75</v>
      </c>
      <c r="V17" s="5">
        <v>0.75</v>
      </c>
      <c r="W17" s="5">
        <v>0.75</v>
      </c>
      <c r="X17" s="5">
        <v>0.75</v>
      </c>
      <c r="Y17" s="5">
        <v>0.75</v>
      </c>
      <c r="Z17" s="5"/>
      <c r="AA17" s="5"/>
      <c r="AB17" s="5">
        <v>0.75</v>
      </c>
      <c r="AC17" s="5">
        <v>0.75</v>
      </c>
      <c r="AD17" s="5">
        <v>0.75</v>
      </c>
      <c r="AE17" s="5">
        <v>0.75</v>
      </c>
      <c r="AF17" s="5">
        <v>0.75</v>
      </c>
      <c r="AG17" s="5"/>
      <c r="AH17" s="61"/>
      <c r="AI17" s="52"/>
    </row>
    <row r="18" spans="1:36" ht="16.5" thickBot="1">
      <c r="A18" s="82"/>
      <c r="B18" s="75"/>
      <c r="C18" s="8" t="s">
        <v>2</v>
      </c>
      <c r="D18" s="10"/>
      <c r="E18" s="38"/>
      <c r="F18" s="9"/>
      <c r="G18" s="9">
        <v>6.25E-2</v>
      </c>
      <c r="H18" s="9">
        <v>6.25E-2</v>
      </c>
      <c r="I18" s="9">
        <v>6.25E-2</v>
      </c>
      <c r="J18" s="9">
        <v>6.25E-2</v>
      </c>
      <c r="K18" s="9">
        <v>6.25E-2</v>
      </c>
      <c r="L18" s="9"/>
      <c r="M18" s="9"/>
      <c r="N18" s="9">
        <v>6.25E-2</v>
      </c>
      <c r="O18" s="9">
        <v>6.25E-2</v>
      </c>
      <c r="P18" s="9">
        <v>6.25E-2</v>
      </c>
      <c r="Q18" s="9">
        <v>6.25E-2</v>
      </c>
      <c r="R18" s="9"/>
      <c r="S18" s="9"/>
      <c r="T18" s="9"/>
      <c r="U18" s="9">
        <v>6.25E-2</v>
      </c>
      <c r="V18" s="9">
        <v>6.25E-2</v>
      </c>
      <c r="W18" s="9">
        <v>6.25E-2</v>
      </c>
      <c r="X18" s="9">
        <v>6.25E-2</v>
      </c>
      <c r="Y18" s="9">
        <v>6.25E-2</v>
      </c>
      <c r="Z18" s="9"/>
      <c r="AA18" s="9"/>
      <c r="AB18" s="9">
        <v>6.25E-2</v>
      </c>
      <c r="AC18" s="9">
        <v>6.25E-2</v>
      </c>
      <c r="AD18" s="9">
        <v>6.25E-2</v>
      </c>
      <c r="AE18" s="9">
        <v>6.25E-2</v>
      </c>
      <c r="AF18" s="9">
        <v>6.25E-2</v>
      </c>
      <c r="AG18" s="9"/>
      <c r="AH18" s="62"/>
      <c r="AI18" s="53"/>
    </row>
    <row r="19" spans="1:36" ht="16.5" thickTop="1">
      <c r="A19" s="82"/>
      <c r="B19" s="75"/>
      <c r="C19" s="17" t="s">
        <v>12</v>
      </c>
      <c r="D19" s="18"/>
      <c r="E19" s="19">
        <f t="shared" ref="E19:K19" si="15">E17-E16-E18</f>
        <v>0</v>
      </c>
      <c r="F19" s="20">
        <f t="shared" si="15"/>
        <v>0</v>
      </c>
      <c r="G19" s="20">
        <f t="shared" si="15"/>
        <v>0.33333333333333331</v>
      </c>
      <c r="H19" s="20">
        <f t="shared" si="15"/>
        <v>0.33333333333333331</v>
      </c>
      <c r="I19" s="20">
        <f t="shared" si="15"/>
        <v>0.33333333333333331</v>
      </c>
      <c r="J19" s="20">
        <f t="shared" si="15"/>
        <v>0.33333333333333331</v>
      </c>
      <c r="K19" s="20">
        <f t="shared" si="15"/>
        <v>0.33333333333333331</v>
      </c>
      <c r="L19" s="20">
        <f t="shared" ref="L19:AF19" si="16">L17-L16-L18</f>
        <v>0</v>
      </c>
      <c r="M19" s="20">
        <f t="shared" si="16"/>
        <v>0</v>
      </c>
      <c r="N19" s="20">
        <f t="shared" si="16"/>
        <v>0.33333333333333331</v>
      </c>
      <c r="O19" s="20">
        <f t="shared" si="16"/>
        <v>0.33333333333333331</v>
      </c>
      <c r="P19" s="20">
        <f t="shared" si="16"/>
        <v>0.33333333333333331</v>
      </c>
      <c r="Q19" s="20">
        <f t="shared" ref="Q19:T19" si="17">Q17-Q16-Q18</f>
        <v>0.33333333333333331</v>
      </c>
      <c r="R19" s="20">
        <f t="shared" si="17"/>
        <v>0</v>
      </c>
      <c r="S19" s="20">
        <f t="shared" si="17"/>
        <v>0</v>
      </c>
      <c r="T19" s="20">
        <f t="shared" si="17"/>
        <v>0</v>
      </c>
      <c r="U19" s="20">
        <f t="shared" ref="U19:Z19" si="18">U17-U16-U18</f>
        <v>0.33333333333333331</v>
      </c>
      <c r="V19" s="20">
        <f t="shared" si="18"/>
        <v>0.33333333333333331</v>
      </c>
      <c r="W19" s="20">
        <f t="shared" si="18"/>
        <v>0.33333333333333331</v>
      </c>
      <c r="X19" s="20">
        <f t="shared" si="18"/>
        <v>0.33333333333333331</v>
      </c>
      <c r="Y19" s="20">
        <f t="shared" si="18"/>
        <v>0.33333333333333331</v>
      </c>
      <c r="Z19" s="20">
        <f t="shared" si="18"/>
        <v>0</v>
      </c>
      <c r="AA19" s="20">
        <f t="shared" si="16"/>
        <v>0</v>
      </c>
      <c r="AB19" s="20">
        <f t="shared" si="16"/>
        <v>0.33333333333333331</v>
      </c>
      <c r="AC19" s="20">
        <f t="shared" si="16"/>
        <v>0.33333333333333331</v>
      </c>
      <c r="AD19" s="20">
        <f t="shared" si="16"/>
        <v>0.33333333333333331</v>
      </c>
      <c r="AE19" s="20">
        <f t="shared" si="16"/>
        <v>0.33333333333333331</v>
      </c>
      <c r="AF19" s="20">
        <f t="shared" si="16"/>
        <v>0.33333333333333331</v>
      </c>
      <c r="AG19" s="20">
        <f t="shared" ref="AG19:AH19" si="19">AG17-AG16-AG18</f>
        <v>0</v>
      </c>
      <c r="AH19" s="63">
        <f t="shared" si="19"/>
        <v>0</v>
      </c>
      <c r="AI19" s="54">
        <f t="shared" ref="AI19:AI25" si="20">SUM(E19:AH19)</f>
        <v>6.3333333333333313</v>
      </c>
      <c r="AJ19" s="42"/>
    </row>
    <row r="20" spans="1:36">
      <c r="A20" s="82"/>
      <c r="B20" s="75"/>
      <c r="C20" s="2" t="s">
        <v>4</v>
      </c>
      <c r="D20" s="43" t="s">
        <v>5</v>
      </c>
      <c r="E20" s="71"/>
      <c r="F20" s="78"/>
      <c r="G20" s="78">
        <v>0.33333333333333331</v>
      </c>
      <c r="H20" s="78">
        <v>0.33333333333333331</v>
      </c>
      <c r="I20" s="78">
        <v>0.33333333333333331</v>
      </c>
      <c r="J20" s="78">
        <v>0.33333333333333331</v>
      </c>
      <c r="K20" s="78">
        <v>0.33333333333333331</v>
      </c>
      <c r="L20" s="78"/>
      <c r="M20" s="78"/>
      <c r="N20" s="78">
        <v>0.33333333333333331</v>
      </c>
      <c r="O20" s="78">
        <v>0.33333333333333331</v>
      </c>
      <c r="P20" s="78">
        <v>0.33333333333333331</v>
      </c>
      <c r="Q20" s="78">
        <v>0.33333333333333331</v>
      </c>
      <c r="R20" s="78">
        <v>0</v>
      </c>
      <c r="S20" s="78"/>
      <c r="T20" s="78"/>
      <c r="U20" s="78">
        <v>0.33333333333333331</v>
      </c>
      <c r="V20" s="78">
        <v>0.33333333333333331</v>
      </c>
      <c r="W20" s="78">
        <v>0.33333333333333331</v>
      </c>
      <c r="X20" s="78">
        <v>0.33333333333333331</v>
      </c>
      <c r="Y20" s="78">
        <v>0.33333333333333331</v>
      </c>
      <c r="Z20" s="78"/>
      <c r="AA20" s="78"/>
      <c r="AB20" s="78">
        <v>0.33333333333333331</v>
      </c>
      <c r="AC20" s="78">
        <v>0.33333333333333331</v>
      </c>
      <c r="AD20" s="78">
        <v>0.33333333333333331</v>
      </c>
      <c r="AE20" s="78">
        <v>0.33333333333333331</v>
      </c>
      <c r="AF20" s="78">
        <v>0.33333333333333331</v>
      </c>
      <c r="AG20" s="78"/>
      <c r="AH20" s="79"/>
      <c r="AI20" s="80">
        <f t="shared" si="20"/>
        <v>6.3333333333333313</v>
      </c>
    </row>
    <row r="21" spans="1:36">
      <c r="A21" s="82"/>
      <c r="B21" s="75"/>
      <c r="C21" s="6"/>
      <c r="D21" s="3" t="s">
        <v>6</v>
      </c>
      <c r="E21" s="71"/>
      <c r="F21" s="7"/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/>
      <c r="M21" s="7"/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/>
      <c r="T21" s="7"/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/>
      <c r="AA21" s="7"/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/>
      <c r="AH21" s="64"/>
      <c r="AI21" s="55">
        <f t="shared" si="20"/>
        <v>0</v>
      </c>
    </row>
    <row r="22" spans="1:36">
      <c r="A22" s="82"/>
      <c r="B22" s="75"/>
      <c r="C22" s="6"/>
      <c r="D22" s="3" t="s">
        <v>21</v>
      </c>
      <c r="E22" s="39"/>
      <c r="F22" s="7"/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/>
      <c r="M22" s="7"/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/>
      <c r="T22" s="7"/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/>
      <c r="AA22" s="7"/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/>
      <c r="AH22" s="64"/>
      <c r="AI22" s="55">
        <f t="shared" si="20"/>
        <v>0</v>
      </c>
    </row>
    <row r="23" spans="1:36">
      <c r="A23" s="82"/>
      <c r="B23" s="75"/>
      <c r="C23" s="6"/>
      <c r="D23" s="3" t="s">
        <v>30</v>
      </c>
      <c r="E23" s="39"/>
      <c r="F23" s="7"/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/>
      <c r="M23" s="7"/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/>
      <c r="T23" s="7"/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/>
      <c r="AA23" s="7"/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/>
      <c r="AH23" s="64"/>
      <c r="AI23" s="55">
        <f t="shared" si="20"/>
        <v>0</v>
      </c>
    </row>
    <row r="24" spans="1:36" ht="16.5" thickBot="1">
      <c r="A24" s="82"/>
      <c r="B24" s="75"/>
      <c r="C24" s="6"/>
      <c r="D24" s="3" t="s">
        <v>34</v>
      </c>
      <c r="E24" s="39"/>
      <c r="F24" s="7"/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/>
      <c r="M24" s="7"/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/>
      <c r="T24" s="7"/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/>
      <c r="AA24" s="7"/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/>
      <c r="AH24" s="64"/>
      <c r="AI24" s="55">
        <f t="shared" si="20"/>
        <v>0</v>
      </c>
    </row>
    <row r="25" spans="1:36" ht="17.25" thickTop="1" thickBot="1">
      <c r="A25" s="83"/>
      <c r="B25" s="76"/>
      <c r="C25" s="27" t="s">
        <v>7</v>
      </c>
      <c r="D25" s="28"/>
      <c r="E25" s="29">
        <f>SUM(E20,E24)</f>
        <v>0</v>
      </c>
      <c r="F25" s="30">
        <f>SUM(F20:F24)</f>
        <v>0</v>
      </c>
      <c r="G25" s="30">
        <f t="shared" ref="G25:AG25" si="21">SUM(G20:G24)</f>
        <v>0.33333333333333331</v>
      </c>
      <c r="H25" s="30">
        <f t="shared" si="21"/>
        <v>0.33333333333333331</v>
      </c>
      <c r="I25" s="30">
        <f t="shared" si="21"/>
        <v>0.33333333333333331</v>
      </c>
      <c r="J25" s="30">
        <f t="shared" si="21"/>
        <v>0.33333333333333331</v>
      </c>
      <c r="K25" s="30">
        <f t="shared" si="21"/>
        <v>0.33333333333333331</v>
      </c>
      <c r="L25" s="30">
        <f t="shared" si="21"/>
        <v>0</v>
      </c>
      <c r="M25" s="30">
        <f t="shared" si="21"/>
        <v>0</v>
      </c>
      <c r="N25" s="30">
        <f t="shared" si="21"/>
        <v>0.33333333333333331</v>
      </c>
      <c r="O25" s="30">
        <f t="shared" si="21"/>
        <v>0.33333333333333331</v>
      </c>
      <c r="P25" s="30">
        <f t="shared" si="21"/>
        <v>0.33333333333333331</v>
      </c>
      <c r="Q25" s="30">
        <f t="shared" si="21"/>
        <v>0.33333333333333331</v>
      </c>
      <c r="R25" s="30">
        <f t="shared" si="21"/>
        <v>0</v>
      </c>
      <c r="S25" s="30">
        <f t="shared" si="21"/>
        <v>0</v>
      </c>
      <c r="T25" s="30">
        <f t="shared" si="21"/>
        <v>0</v>
      </c>
      <c r="U25" s="30">
        <f t="shared" si="21"/>
        <v>0.33333333333333331</v>
      </c>
      <c r="V25" s="30">
        <f t="shared" si="21"/>
        <v>0.33333333333333331</v>
      </c>
      <c r="W25" s="30">
        <f t="shared" si="21"/>
        <v>0.33333333333333331</v>
      </c>
      <c r="X25" s="30">
        <f t="shared" si="21"/>
        <v>0.33333333333333331</v>
      </c>
      <c r="Y25" s="30">
        <f t="shared" si="21"/>
        <v>0.33333333333333331</v>
      </c>
      <c r="Z25" s="30">
        <f t="shared" si="21"/>
        <v>0</v>
      </c>
      <c r="AA25" s="30">
        <f t="shared" si="21"/>
        <v>0</v>
      </c>
      <c r="AB25" s="30">
        <f t="shared" si="21"/>
        <v>0.33333333333333331</v>
      </c>
      <c r="AC25" s="30">
        <f t="shared" si="21"/>
        <v>0.33333333333333331</v>
      </c>
      <c r="AD25" s="30">
        <f t="shared" si="21"/>
        <v>0.33333333333333331</v>
      </c>
      <c r="AE25" s="30">
        <f t="shared" si="21"/>
        <v>0.33333333333333331</v>
      </c>
      <c r="AF25" s="30">
        <f t="shared" si="21"/>
        <v>0.33333333333333331</v>
      </c>
      <c r="AG25" s="30">
        <f t="shared" si="21"/>
        <v>0</v>
      </c>
      <c r="AH25" s="65">
        <f t="shared" ref="AH25" si="22">SUM(AH20:AH24)</f>
        <v>0</v>
      </c>
      <c r="AI25" s="58">
        <f t="shared" si="20"/>
        <v>6.3333333333333313</v>
      </c>
      <c r="AJ25" s="42"/>
    </row>
    <row r="26" spans="1:36" ht="16.5" thickTop="1">
      <c r="A26" s="81">
        <v>3</v>
      </c>
      <c r="B26" s="74" t="s">
        <v>25</v>
      </c>
      <c r="C26" s="23" t="s">
        <v>0</v>
      </c>
      <c r="D26" s="24"/>
      <c r="E26" s="36"/>
      <c r="F26" s="25"/>
      <c r="G26" s="25">
        <v>0.375</v>
      </c>
      <c r="H26" s="25">
        <v>0.35416666666666669</v>
      </c>
      <c r="I26" s="25">
        <v>0.35416666666666669</v>
      </c>
      <c r="J26" s="25">
        <v>0.35416666666666669</v>
      </c>
      <c r="K26" s="25">
        <v>0.52083333333333337</v>
      </c>
      <c r="L26" s="25"/>
      <c r="M26" s="25"/>
      <c r="N26" s="25">
        <v>0.35416666666666669</v>
      </c>
      <c r="O26" s="25">
        <v>0.35416666666666669</v>
      </c>
      <c r="P26" s="25">
        <v>0.35416666666666669</v>
      </c>
      <c r="Q26" s="25">
        <v>0.35416666666666669</v>
      </c>
      <c r="R26" s="25">
        <v>0.35416666666666669</v>
      </c>
      <c r="S26" s="25"/>
      <c r="T26" s="25"/>
      <c r="U26" s="25">
        <v>0.35416666666666669</v>
      </c>
      <c r="V26" s="25">
        <v>0.35416666666666669</v>
      </c>
      <c r="W26" s="25">
        <v>0.39583333333333331</v>
      </c>
      <c r="X26" s="25">
        <v>0.35416666666666669</v>
      </c>
      <c r="Y26" s="25">
        <v>0.35416666666666669</v>
      </c>
      <c r="Z26" s="25"/>
      <c r="AA26" s="25"/>
      <c r="AB26" s="25">
        <v>0.35416666666666669</v>
      </c>
      <c r="AC26" s="25"/>
      <c r="AD26" s="25">
        <v>0.35416666666666669</v>
      </c>
      <c r="AE26" s="25">
        <v>0.35416666666666669</v>
      </c>
      <c r="AF26" s="25">
        <v>0.35416666666666669</v>
      </c>
      <c r="AG26" s="25"/>
      <c r="AH26" s="66"/>
      <c r="AI26" s="57"/>
    </row>
    <row r="27" spans="1:36">
      <c r="A27" s="82"/>
      <c r="B27" s="75" t="s">
        <v>22</v>
      </c>
      <c r="C27" s="3" t="s">
        <v>1</v>
      </c>
      <c r="D27" s="4"/>
      <c r="E27" s="37"/>
      <c r="F27" s="5"/>
      <c r="G27" s="5">
        <v>0.75</v>
      </c>
      <c r="H27" s="5">
        <v>0.75</v>
      </c>
      <c r="I27" s="5">
        <v>0.75</v>
      </c>
      <c r="J27" s="5">
        <v>0.75</v>
      </c>
      <c r="K27" s="5">
        <v>0.75</v>
      </c>
      <c r="L27" s="5"/>
      <c r="M27" s="5"/>
      <c r="N27" s="5">
        <v>0.75</v>
      </c>
      <c r="O27" s="5">
        <v>0.75</v>
      </c>
      <c r="P27" s="5">
        <v>0.75</v>
      </c>
      <c r="Q27" s="5">
        <v>0.75</v>
      </c>
      <c r="R27" s="5">
        <v>0.75</v>
      </c>
      <c r="S27" s="5"/>
      <c r="T27" s="5"/>
      <c r="U27" s="5">
        <v>0.75</v>
      </c>
      <c r="V27" s="5">
        <v>0.75</v>
      </c>
      <c r="W27" s="5">
        <v>0.75</v>
      </c>
      <c r="X27" s="5">
        <v>0.75</v>
      </c>
      <c r="Y27" s="5">
        <v>0.75</v>
      </c>
      <c r="Z27" s="5"/>
      <c r="AA27" s="5"/>
      <c r="AB27" s="5">
        <v>0.75</v>
      </c>
      <c r="AC27" s="5"/>
      <c r="AD27" s="5">
        <v>0.75</v>
      </c>
      <c r="AE27" s="5">
        <v>0.75</v>
      </c>
      <c r="AF27" s="5">
        <v>0.75</v>
      </c>
      <c r="AG27" s="5"/>
      <c r="AH27" s="61"/>
      <c r="AI27" s="52"/>
    </row>
    <row r="28" spans="1:36" ht="16.5" thickBot="1">
      <c r="A28" s="82"/>
      <c r="B28" s="75"/>
      <c r="C28" s="8" t="s">
        <v>2</v>
      </c>
      <c r="D28" s="10"/>
      <c r="E28" s="38"/>
      <c r="F28" s="9"/>
      <c r="G28" s="9">
        <v>6.25E-2</v>
      </c>
      <c r="H28" s="9">
        <v>6.25E-2</v>
      </c>
      <c r="I28" s="9">
        <v>6.25E-2</v>
      </c>
      <c r="J28" s="9">
        <v>6.25E-2</v>
      </c>
      <c r="K28" s="9">
        <v>6.25E-2</v>
      </c>
      <c r="L28" s="9"/>
      <c r="M28" s="9"/>
      <c r="N28" s="9">
        <v>6.25E-2</v>
      </c>
      <c r="O28" s="9">
        <v>6.25E-2</v>
      </c>
      <c r="P28" s="9">
        <v>6.25E-2</v>
      </c>
      <c r="Q28" s="9">
        <v>6.25E-2</v>
      </c>
      <c r="R28" s="9">
        <v>6.25E-2</v>
      </c>
      <c r="S28" s="9"/>
      <c r="T28" s="9"/>
      <c r="U28" s="9">
        <v>6.25E-2</v>
      </c>
      <c r="V28" s="9">
        <v>6.25E-2</v>
      </c>
      <c r="W28" s="9">
        <v>6.25E-2</v>
      </c>
      <c r="X28" s="9">
        <v>6.25E-2</v>
      </c>
      <c r="Y28" s="9">
        <v>6.25E-2</v>
      </c>
      <c r="Z28" s="9"/>
      <c r="AA28" s="9"/>
      <c r="AB28" s="9">
        <v>6.25E-2</v>
      </c>
      <c r="AC28" s="9"/>
      <c r="AD28" s="9">
        <v>6.25E-2</v>
      </c>
      <c r="AE28" s="9">
        <v>6.25E-2</v>
      </c>
      <c r="AF28" s="9">
        <v>6.25E-2</v>
      </c>
      <c r="AG28" s="9"/>
      <c r="AH28" s="62"/>
      <c r="AI28" s="53"/>
    </row>
    <row r="29" spans="1:36" ht="16.5" thickTop="1">
      <c r="A29" s="82"/>
      <c r="B29" s="75"/>
      <c r="C29" s="17" t="s">
        <v>12</v>
      </c>
      <c r="D29" s="18"/>
      <c r="E29" s="19">
        <f t="shared" ref="E29:K29" si="23">E27-E26-E28</f>
        <v>0</v>
      </c>
      <c r="F29" s="20">
        <f t="shared" si="23"/>
        <v>0</v>
      </c>
      <c r="G29" s="20">
        <f t="shared" si="23"/>
        <v>0.3125</v>
      </c>
      <c r="H29" s="20">
        <f t="shared" si="23"/>
        <v>0.33333333333333331</v>
      </c>
      <c r="I29" s="20">
        <f t="shared" si="23"/>
        <v>0.33333333333333331</v>
      </c>
      <c r="J29" s="20">
        <f t="shared" si="23"/>
        <v>0.33333333333333331</v>
      </c>
      <c r="K29" s="20">
        <f t="shared" si="23"/>
        <v>0.16666666666666663</v>
      </c>
      <c r="L29" s="20">
        <f t="shared" ref="L29:AF29" si="24">L27-L26-L28</f>
        <v>0</v>
      </c>
      <c r="M29" s="20">
        <f t="shared" si="24"/>
        <v>0</v>
      </c>
      <c r="N29" s="20">
        <f t="shared" si="24"/>
        <v>0.33333333333333331</v>
      </c>
      <c r="O29" s="20">
        <f t="shared" si="24"/>
        <v>0.33333333333333331</v>
      </c>
      <c r="P29" s="20">
        <f t="shared" si="24"/>
        <v>0.33333333333333331</v>
      </c>
      <c r="Q29" s="20">
        <f t="shared" si="24"/>
        <v>0.33333333333333331</v>
      </c>
      <c r="R29" s="20">
        <f t="shared" si="24"/>
        <v>0.33333333333333331</v>
      </c>
      <c r="S29" s="20">
        <f t="shared" ref="S29" si="25">S27-S26-S28</f>
        <v>0</v>
      </c>
      <c r="T29" s="20">
        <f t="shared" si="24"/>
        <v>0</v>
      </c>
      <c r="U29" s="20">
        <f t="shared" ref="U29:Y29" si="26">U27-U26-U28</f>
        <v>0.33333333333333331</v>
      </c>
      <c r="V29" s="20">
        <f t="shared" si="26"/>
        <v>0.33333333333333331</v>
      </c>
      <c r="W29" s="20">
        <f t="shared" si="26"/>
        <v>0.29166666666666669</v>
      </c>
      <c r="X29" s="20">
        <f t="shared" si="26"/>
        <v>0.33333333333333331</v>
      </c>
      <c r="Y29" s="20">
        <f t="shared" si="26"/>
        <v>0.33333333333333331</v>
      </c>
      <c r="Z29" s="20">
        <f t="shared" si="24"/>
        <v>0</v>
      </c>
      <c r="AA29" s="20">
        <f t="shared" si="24"/>
        <v>0</v>
      </c>
      <c r="AB29" s="20">
        <f t="shared" si="24"/>
        <v>0.33333333333333331</v>
      </c>
      <c r="AC29" s="20">
        <f t="shared" si="24"/>
        <v>0</v>
      </c>
      <c r="AD29" s="20">
        <f t="shared" si="24"/>
        <v>0.33333333333333331</v>
      </c>
      <c r="AE29" s="20">
        <f t="shared" si="24"/>
        <v>0.33333333333333331</v>
      </c>
      <c r="AF29" s="20">
        <f t="shared" si="24"/>
        <v>0.33333333333333331</v>
      </c>
      <c r="AG29" s="20">
        <f t="shared" ref="AG29" si="27">AG27-AG26-AG28</f>
        <v>0</v>
      </c>
      <c r="AH29" s="63">
        <f t="shared" ref="AH29" si="28">AH27-AH26-AH28</f>
        <v>0</v>
      </c>
      <c r="AI29" s="54">
        <f t="shared" ref="AI29:AI35" si="29">SUM(E29:AH29)</f>
        <v>6.1041666666666652</v>
      </c>
      <c r="AJ29" s="42"/>
    </row>
    <row r="30" spans="1:36">
      <c r="A30" s="82"/>
      <c r="B30" s="75"/>
      <c r="C30" s="2" t="s">
        <v>4</v>
      </c>
      <c r="D30" s="43" t="s">
        <v>5</v>
      </c>
      <c r="E30" s="71"/>
      <c r="F30" s="78"/>
      <c r="G30" s="78">
        <v>0.3125</v>
      </c>
      <c r="H30" s="78">
        <v>0.33333333333333331</v>
      </c>
      <c r="I30" s="78">
        <v>0.33333333333333331</v>
      </c>
      <c r="J30" s="78">
        <v>0.33333333333333331</v>
      </c>
      <c r="K30" s="78">
        <v>0.16666666666666666</v>
      </c>
      <c r="L30" s="78"/>
      <c r="M30" s="78"/>
      <c r="N30" s="78">
        <v>0.33333333333333331</v>
      </c>
      <c r="O30" s="78">
        <v>0.33333333333333331</v>
      </c>
      <c r="P30" s="78">
        <v>0.33333333333333331</v>
      </c>
      <c r="Q30" s="78">
        <v>0.33333333333333331</v>
      </c>
      <c r="R30" s="78">
        <v>0.33333333333333331</v>
      </c>
      <c r="S30" s="78"/>
      <c r="T30" s="78"/>
      <c r="U30" s="78">
        <v>0.33333333333333331</v>
      </c>
      <c r="V30" s="78">
        <v>0.33333333333333331</v>
      </c>
      <c r="W30" s="78">
        <v>0.29166666666666669</v>
      </c>
      <c r="X30" s="78">
        <v>0.33333333333333331</v>
      </c>
      <c r="Y30" s="78">
        <v>0.33333333333333331</v>
      </c>
      <c r="Z30" s="78"/>
      <c r="AA30" s="78"/>
      <c r="AB30" s="78">
        <v>0.33333333333333331</v>
      </c>
      <c r="AC30" s="78">
        <v>0</v>
      </c>
      <c r="AD30" s="78">
        <v>0.33333333333333331</v>
      </c>
      <c r="AE30" s="78">
        <v>0.33333333333333331</v>
      </c>
      <c r="AF30" s="78">
        <v>0.33333333333333331</v>
      </c>
      <c r="AG30" s="78"/>
      <c r="AH30" s="79"/>
      <c r="AI30" s="80">
        <f t="shared" si="29"/>
        <v>6.1041666666666652</v>
      </c>
    </row>
    <row r="31" spans="1:36">
      <c r="A31" s="82"/>
      <c r="B31" s="75"/>
      <c r="C31" s="6"/>
      <c r="D31" s="3" t="s">
        <v>6</v>
      </c>
      <c r="E31" s="71"/>
      <c r="F31" s="7"/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/>
      <c r="M31" s="7"/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/>
      <c r="T31" s="7"/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/>
      <c r="AA31" s="7"/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/>
      <c r="AH31" s="64"/>
      <c r="AI31" s="55">
        <f t="shared" si="29"/>
        <v>0</v>
      </c>
    </row>
    <row r="32" spans="1:36">
      <c r="A32" s="82"/>
      <c r="B32" s="75"/>
      <c r="C32" s="6"/>
      <c r="D32" s="3" t="s">
        <v>21</v>
      </c>
      <c r="E32" s="39"/>
      <c r="F32" s="7"/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/>
      <c r="M32" s="7"/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/>
      <c r="T32" s="7"/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/>
      <c r="AA32" s="7"/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/>
      <c r="AH32" s="64"/>
      <c r="AI32" s="55">
        <f t="shared" si="29"/>
        <v>0</v>
      </c>
    </row>
    <row r="33" spans="1:36">
      <c r="A33" s="82"/>
      <c r="B33" s="75"/>
      <c r="C33" s="6"/>
      <c r="D33" s="3" t="s">
        <v>30</v>
      </c>
      <c r="E33" s="39"/>
      <c r="F33" s="7"/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/>
      <c r="M33" s="7"/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/>
      <c r="T33" s="7"/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/>
      <c r="AA33" s="7"/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/>
      <c r="AH33" s="64"/>
      <c r="AI33" s="55">
        <f t="shared" si="29"/>
        <v>0</v>
      </c>
    </row>
    <row r="34" spans="1:36" ht="16.5" thickBot="1">
      <c r="A34" s="82"/>
      <c r="B34" s="75"/>
      <c r="C34" s="6"/>
      <c r="D34" s="3" t="s">
        <v>34</v>
      </c>
      <c r="E34" s="39"/>
      <c r="F34" s="7"/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/>
      <c r="M34" s="7"/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/>
      <c r="T34" s="7"/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/>
      <c r="AA34" s="7"/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/>
      <c r="AH34" s="64"/>
      <c r="AI34" s="55">
        <f t="shared" si="29"/>
        <v>0</v>
      </c>
    </row>
    <row r="35" spans="1:36" ht="17.25" thickTop="1" thickBot="1">
      <c r="A35" s="83"/>
      <c r="B35" s="76"/>
      <c r="C35" s="27" t="s">
        <v>7</v>
      </c>
      <c r="D35" s="28"/>
      <c r="E35" s="29">
        <f>SUM(E30:E34)</f>
        <v>0</v>
      </c>
      <c r="F35" s="30">
        <f>SUM(F30:F34)</f>
        <v>0</v>
      </c>
      <c r="G35" s="30">
        <f>SUM(G30:G34)</f>
        <v>0.3125</v>
      </c>
      <c r="H35" s="30">
        <f t="shared" ref="H35:AG35" si="30">SUM(H30:H34)</f>
        <v>0.33333333333333331</v>
      </c>
      <c r="I35" s="30">
        <f t="shared" si="30"/>
        <v>0.33333333333333331</v>
      </c>
      <c r="J35" s="30">
        <f t="shared" si="30"/>
        <v>0.33333333333333331</v>
      </c>
      <c r="K35" s="30">
        <f t="shared" si="30"/>
        <v>0.16666666666666666</v>
      </c>
      <c r="L35" s="30">
        <f t="shared" si="30"/>
        <v>0</v>
      </c>
      <c r="M35" s="30">
        <f t="shared" si="30"/>
        <v>0</v>
      </c>
      <c r="N35" s="30">
        <f t="shared" si="30"/>
        <v>0.33333333333333331</v>
      </c>
      <c r="O35" s="30">
        <f t="shared" si="30"/>
        <v>0.33333333333333331</v>
      </c>
      <c r="P35" s="30">
        <f t="shared" si="30"/>
        <v>0.33333333333333331</v>
      </c>
      <c r="Q35" s="30">
        <f t="shared" si="30"/>
        <v>0.33333333333333331</v>
      </c>
      <c r="R35" s="30">
        <f t="shared" si="30"/>
        <v>0.33333333333333331</v>
      </c>
      <c r="S35" s="30">
        <f t="shared" si="30"/>
        <v>0</v>
      </c>
      <c r="T35" s="30">
        <f t="shared" si="30"/>
        <v>0</v>
      </c>
      <c r="U35" s="30">
        <f t="shared" si="30"/>
        <v>0.33333333333333331</v>
      </c>
      <c r="V35" s="30">
        <f t="shared" si="30"/>
        <v>0.33333333333333331</v>
      </c>
      <c r="W35" s="30">
        <f>SUM(W30:W34)</f>
        <v>0.29166666666666669</v>
      </c>
      <c r="X35" s="30">
        <f>SUM(X30:X34)</f>
        <v>0.33333333333333331</v>
      </c>
      <c r="Y35" s="30">
        <f t="shared" si="30"/>
        <v>0.33333333333333331</v>
      </c>
      <c r="Z35" s="30">
        <f t="shared" si="30"/>
        <v>0</v>
      </c>
      <c r="AA35" s="30">
        <f t="shared" si="30"/>
        <v>0</v>
      </c>
      <c r="AB35" s="30">
        <f t="shared" si="30"/>
        <v>0.33333333333333331</v>
      </c>
      <c r="AC35" s="30">
        <f t="shared" si="30"/>
        <v>0</v>
      </c>
      <c r="AD35" s="30">
        <f t="shared" si="30"/>
        <v>0.33333333333333331</v>
      </c>
      <c r="AE35" s="30">
        <f t="shared" si="30"/>
        <v>0.33333333333333331</v>
      </c>
      <c r="AF35" s="30">
        <f t="shared" si="30"/>
        <v>0.33333333333333331</v>
      </c>
      <c r="AG35" s="30">
        <f t="shared" si="30"/>
        <v>0</v>
      </c>
      <c r="AH35" s="65">
        <f t="shared" ref="AH35" si="31">SUM(AH30:AH34)</f>
        <v>0</v>
      </c>
      <c r="AI35" s="56">
        <f t="shared" si="29"/>
        <v>6.1041666666666652</v>
      </c>
      <c r="AJ35" s="42"/>
    </row>
    <row r="36" spans="1:36" ht="16.5" thickTop="1">
      <c r="A36" s="81">
        <v>4</v>
      </c>
      <c r="B36" s="74" t="s">
        <v>32</v>
      </c>
      <c r="C36" s="23" t="s">
        <v>0</v>
      </c>
      <c r="D36" s="24"/>
      <c r="E36" s="36"/>
      <c r="F36" s="25"/>
      <c r="G36" s="25">
        <v>0.35416666666666669</v>
      </c>
      <c r="H36" s="25"/>
      <c r="I36" s="25">
        <v>0.35416666666666669</v>
      </c>
      <c r="J36" s="25">
        <v>0.35416666666666669</v>
      </c>
      <c r="K36" s="25">
        <v>0.52083333333333337</v>
      </c>
      <c r="L36" s="25"/>
      <c r="M36" s="25"/>
      <c r="N36" s="25">
        <v>0.35416666666666669</v>
      </c>
      <c r="O36" s="25">
        <v>0.35416666666666669</v>
      </c>
      <c r="P36" s="25">
        <v>0.35416666666666669</v>
      </c>
      <c r="Q36" s="25">
        <v>0.35416666666666669</v>
      </c>
      <c r="R36" s="25">
        <v>0.35416666666666669</v>
      </c>
      <c r="S36" s="25"/>
      <c r="T36" s="25"/>
      <c r="U36" s="25">
        <v>0.33333333333333331</v>
      </c>
      <c r="V36" s="25">
        <v>0.33333333333333331</v>
      </c>
      <c r="W36" s="25">
        <v>0.375</v>
      </c>
      <c r="X36" s="25">
        <v>0.33333333333333331</v>
      </c>
      <c r="Y36" s="25"/>
      <c r="Z36" s="25"/>
      <c r="AA36" s="25"/>
      <c r="AB36" s="25">
        <v>0.33333333333333331</v>
      </c>
      <c r="AC36" s="25">
        <v>0.33333333333333331</v>
      </c>
      <c r="AD36" s="25">
        <v>0.33333333333333331</v>
      </c>
      <c r="AE36" s="25">
        <v>0.33333333333333331</v>
      </c>
      <c r="AF36" s="25">
        <v>0.33333333333333331</v>
      </c>
      <c r="AG36" s="25">
        <v>0.33333333333333331</v>
      </c>
      <c r="AH36" s="66"/>
      <c r="AI36" s="57"/>
    </row>
    <row r="37" spans="1:36">
      <c r="A37" s="82"/>
      <c r="B37" s="77" t="s">
        <v>37</v>
      </c>
      <c r="C37" s="3" t="s">
        <v>1</v>
      </c>
      <c r="D37" s="4"/>
      <c r="E37" s="37"/>
      <c r="F37" s="5"/>
      <c r="G37" s="5">
        <v>0.75</v>
      </c>
      <c r="H37" s="5"/>
      <c r="I37" s="5">
        <v>0.70833333333333337</v>
      </c>
      <c r="J37" s="5">
        <v>0.75</v>
      </c>
      <c r="K37" s="5">
        <v>0.75</v>
      </c>
      <c r="L37" s="5"/>
      <c r="M37" s="5"/>
      <c r="N37" s="5">
        <v>0.75</v>
      </c>
      <c r="O37" s="5">
        <v>0.75</v>
      </c>
      <c r="P37" s="5">
        <v>0.75</v>
      </c>
      <c r="Q37" s="5">
        <v>0.75</v>
      </c>
      <c r="R37" s="5">
        <v>0.75</v>
      </c>
      <c r="S37" s="5"/>
      <c r="T37" s="5"/>
      <c r="U37" s="5">
        <v>0.72916666666666663</v>
      </c>
      <c r="V37" s="5">
        <v>0.72916666666666663</v>
      </c>
      <c r="W37" s="5">
        <v>0.72916666666666663</v>
      </c>
      <c r="X37" s="5">
        <v>0.72916666666666663</v>
      </c>
      <c r="Y37" s="5"/>
      <c r="Z37" s="5"/>
      <c r="AA37" s="5"/>
      <c r="AB37" s="5">
        <v>0.72916666666666663</v>
      </c>
      <c r="AC37" s="5">
        <v>0.72916666666666663</v>
      </c>
      <c r="AD37" s="5">
        <v>0.72916666666666663</v>
      </c>
      <c r="AE37" s="5">
        <v>0.72916666666666663</v>
      </c>
      <c r="AF37" s="5">
        <v>0.72916666666666663</v>
      </c>
      <c r="AG37" s="5">
        <v>0.72916666666666663</v>
      </c>
      <c r="AH37" s="61"/>
      <c r="AI37" s="52"/>
    </row>
    <row r="38" spans="1:36" ht="16.5" thickBot="1">
      <c r="A38" s="82"/>
      <c r="B38" s="77"/>
      <c r="C38" s="8" t="s">
        <v>2</v>
      </c>
      <c r="D38" s="10"/>
      <c r="E38" s="38"/>
      <c r="F38" s="9"/>
      <c r="G38" s="9">
        <v>6.25E-2</v>
      </c>
      <c r="H38" s="9"/>
      <c r="I38" s="9">
        <v>6.25E-2</v>
      </c>
      <c r="J38" s="9">
        <v>6.25E-2</v>
      </c>
      <c r="K38" s="9">
        <v>6.25E-2</v>
      </c>
      <c r="L38" s="9"/>
      <c r="M38" s="9"/>
      <c r="N38" s="9">
        <v>6.25E-2</v>
      </c>
      <c r="O38" s="9">
        <v>6.25E-2</v>
      </c>
      <c r="P38" s="9">
        <v>6.25E-2</v>
      </c>
      <c r="Q38" s="9">
        <v>6.25E-2</v>
      </c>
      <c r="R38" s="9">
        <v>6.25E-2</v>
      </c>
      <c r="S38" s="9"/>
      <c r="T38" s="9"/>
      <c r="U38" s="9">
        <v>6.25E-2</v>
      </c>
      <c r="V38" s="9">
        <v>6.25E-2</v>
      </c>
      <c r="W38" s="9">
        <v>6.25E-2</v>
      </c>
      <c r="X38" s="9">
        <v>6.25E-2</v>
      </c>
      <c r="Y38" s="9"/>
      <c r="Z38" s="9"/>
      <c r="AA38" s="9"/>
      <c r="AB38" s="9">
        <v>6.25E-2</v>
      </c>
      <c r="AC38" s="9">
        <v>6.25E-2</v>
      </c>
      <c r="AD38" s="9">
        <v>6.25E-2</v>
      </c>
      <c r="AE38" s="9">
        <v>6.25E-2</v>
      </c>
      <c r="AF38" s="9">
        <v>6.25E-2</v>
      </c>
      <c r="AG38" s="9">
        <v>6.25E-2</v>
      </c>
      <c r="AH38" s="62"/>
      <c r="AI38" s="53"/>
    </row>
    <row r="39" spans="1:36" ht="16.5" thickTop="1">
      <c r="A39" s="82"/>
      <c r="B39" s="75"/>
      <c r="C39" s="17" t="s">
        <v>12</v>
      </c>
      <c r="D39" s="18"/>
      <c r="E39" s="19">
        <f>E37-E36-E38</f>
        <v>0</v>
      </c>
      <c r="F39" s="20">
        <f t="shared" ref="F39:H39" si="32">F37-F36-F38</f>
        <v>0</v>
      </c>
      <c r="G39" s="20">
        <f t="shared" si="32"/>
        <v>0.33333333333333331</v>
      </c>
      <c r="H39" s="20">
        <f t="shared" si="32"/>
        <v>0</v>
      </c>
      <c r="I39" s="20">
        <f t="shared" ref="I39:AD39" si="33">I37-I36-I38</f>
        <v>0.29166666666666669</v>
      </c>
      <c r="J39" s="20">
        <f t="shared" si="33"/>
        <v>0.33333333333333331</v>
      </c>
      <c r="K39" s="20">
        <f t="shared" si="33"/>
        <v>0.16666666666666663</v>
      </c>
      <c r="L39" s="20">
        <f t="shared" si="33"/>
        <v>0</v>
      </c>
      <c r="M39" s="20">
        <f t="shared" si="33"/>
        <v>0</v>
      </c>
      <c r="N39" s="20">
        <f t="shared" si="33"/>
        <v>0.33333333333333331</v>
      </c>
      <c r="O39" s="20">
        <f t="shared" si="33"/>
        <v>0.33333333333333331</v>
      </c>
      <c r="P39" s="20">
        <f t="shared" si="33"/>
        <v>0.33333333333333331</v>
      </c>
      <c r="Q39" s="20">
        <f t="shared" si="33"/>
        <v>0.33333333333333331</v>
      </c>
      <c r="R39" s="20">
        <f t="shared" si="33"/>
        <v>0.33333333333333331</v>
      </c>
      <c r="S39" s="20">
        <f t="shared" ref="S39:U39" si="34">S37-S36-S38</f>
        <v>0</v>
      </c>
      <c r="T39" s="20">
        <f t="shared" si="34"/>
        <v>0</v>
      </c>
      <c r="U39" s="20">
        <f t="shared" si="34"/>
        <v>0.33333333333333331</v>
      </c>
      <c r="V39" s="20">
        <f t="shared" si="33"/>
        <v>0.33333333333333331</v>
      </c>
      <c r="W39" s="20">
        <f t="shared" si="33"/>
        <v>0.29166666666666663</v>
      </c>
      <c r="X39" s="20">
        <f t="shared" si="33"/>
        <v>0.33333333333333331</v>
      </c>
      <c r="Y39" s="20">
        <f t="shared" si="33"/>
        <v>0</v>
      </c>
      <c r="Z39" s="20">
        <f t="shared" si="33"/>
        <v>0</v>
      </c>
      <c r="AA39" s="20">
        <f t="shared" si="33"/>
        <v>0</v>
      </c>
      <c r="AB39" s="20">
        <f t="shared" si="33"/>
        <v>0.33333333333333331</v>
      </c>
      <c r="AC39" s="20">
        <f t="shared" si="33"/>
        <v>0.33333333333333331</v>
      </c>
      <c r="AD39" s="20">
        <f t="shared" si="33"/>
        <v>0.33333333333333331</v>
      </c>
      <c r="AE39" s="20">
        <f t="shared" ref="AE39:AH39" si="35">AE37-AE36-AE38</f>
        <v>0.33333333333333331</v>
      </c>
      <c r="AF39" s="20">
        <f t="shared" si="35"/>
        <v>0.33333333333333331</v>
      </c>
      <c r="AG39" s="20">
        <f t="shared" si="35"/>
        <v>0.33333333333333331</v>
      </c>
      <c r="AH39" s="63">
        <f t="shared" si="35"/>
        <v>0</v>
      </c>
      <c r="AI39" s="54">
        <f>SUM(E39:AH39)</f>
        <v>6.0833333333333321</v>
      </c>
    </row>
    <row r="40" spans="1:36">
      <c r="A40" s="82"/>
      <c r="B40" s="75"/>
      <c r="C40" s="2" t="s">
        <v>4</v>
      </c>
      <c r="D40" s="3" t="s">
        <v>5</v>
      </c>
      <c r="E40" s="39"/>
      <c r="F40" s="7"/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/>
      <c r="M40" s="7"/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/>
      <c r="T40" s="7"/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/>
      <c r="AA40" s="7"/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64"/>
      <c r="AI40" s="55">
        <f t="shared" ref="AI40:AI44" si="36">SUM(E40:AH40)</f>
        <v>0</v>
      </c>
    </row>
    <row r="41" spans="1:36">
      <c r="A41" s="82"/>
      <c r="B41" s="75"/>
      <c r="C41" s="6"/>
      <c r="D41" s="43" t="s">
        <v>6</v>
      </c>
      <c r="E41" s="71"/>
      <c r="F41" s="78"/>
      <c r="G41" s="78">
        <v>0.33333333333333331</v>
      </c>
      <c r="H41" s="78">
        <v>0</v>
      </c>
      <c r="I41" s="78">
        <v>0.29166666666666669</v>
      </c>
      <c r="J41" s="78">
        <v>0.33333333333333331</v>
      </c>
      <c r="K41" s="78">
        <v>0.16666666666666666</v>
      </c>
      <c r="L41" s="78"/>
      <c r="M41" s="78"/>
      <c r="N41" s="78">
        <v>0.33333333333333331</v>
      </c>
      <c r="O41" s="78">
        <v>0.33333333333333331</v>
      </c>
      <c r="P41" s="78">
        <v>0.33333333333333331</v>
      </c>
      <c r="Q41" s="78">
        <v>0.33333333333333331</v>
      </c>
      <c r="R41" s="78">
        <v>0.33333333333333331</v>
      </c>
      <c r="S41" s="78"/>
      <c r="T41" s="78"/>
      <c r="U41" s="78">
        <v>0.33333333333333331</v>
      </c>
      <c r="V41" s="78">
        <v>0.33333333333333331</v>
      </c>
      <c r="W41" s="78">
        <v>0.29166666666666669</v>
      </c>
      <c r="X41" s="78">
        <v>0.33333333333333331</v>
      </c>
      <c r="Y41" s="78">
        <v>0</v>
      </c>
      <c r="Z41" s="78"/>
      <c r="AA41" s="78"/>
      <c r="AB41" s="78">
        <v>0.33333333333333331</v>
      </c>
      <c r="AC41" s="78">
        <v>0.33333333333333331</v>
      </c>
      <c r="AD41" s="78">
        <v>0.33333333333333331</v>
      </c>
      <c r="AE41" s="78">
        <v>0.33333333333333331</v>
      </c>
      <c r="AF41" s="78">
        <v>0.33333333333333331</v>
      </c>
      <c r="AG41" s="78">
        <v>0.33333333333333331</v>
      </c>
      <c r="AH41" s="79"/>
      <c r="AI41" s="80">
        <f t="shared" si="36"/>
        <v>6.0833333333333321</v>
      </c>
    </row>
    <row r="42" spans="1:36">
      <c r="A42" s="82"/>
      <c r="B42" s="75"/>
      <c r="C42" s="6"/>
      <c r="D42" s="3" t="s">
        <v>21</v>
      </c>
      <c r="E42" s="39"/>
      <c r="F42" s="7"/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/>
      <c r="M42" s="7"/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/>
      <c r="T42" s="7"/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/>
      <c r="AA42" s="7"/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64"/>
      <c r="AI42" s="55">
        <f t="shared" si="36"/>
        <v>0</v>
      </c>
    </row>
    <row r="43" spans="1:36">
      <c r="A43" s="82"/>
      <c r="B43" s="75"/>
      <c r="C43" s="6"/>
      <c r="D43" s="3" t="s">
        <v>30</v>
      </c>
      <c r="E43" s="39"/>
      <c r="F43" s="7"/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/>
      <c r="M43" s="7"/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/>
      <c r="T43" s="7"/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/>
      <c r="AA43" s="7"/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64"/>
      <c r="AI43" s="55">
        <f t="shared" si="36"/>
        <v>0</v>
      </c>
    </row>
    <row r="44" spans="1:36" ht="16.5" thickBot="1">
      <c r="A44" s="82"/>
      <c r="B44" s="75"/>
      <c r="C44" s="6"/>
      <c r="D44" s="3" t="s">
        <v>34</v>
      </c>
      <c r="E44" s="39"/>
      <c r="F44" s="7"/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/>
      <c r="M44" s="7"/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/>
      <c r="T44" s="7"/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/>
      <c r="AA44" s="7"/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64"/>
      <c r="AI44" s="55">
        <f t="shared" si="36"/>
        <v>0</v>
      </c>
    </row>
    <row r="45" spans="1:36" ht="17.25" thickTop="1" thickBot="1">
      <c r="A45" s="83"/>
      <c r="B45" s="76"/>
      <c r="C45" s="27" t="s">
        <v>7</v>
      </c>
      <c r="D45" s="28"/>
      <c r="E45" s="29">
        <f>SUM(E40:E44)</f>
        <v>0</v>
      </c>
      <c r="F45" s="30">
        <f>SUM(F40:F44)</f>
        <v>0</v>
      </c>
      <c r="G45" s="30">
        <f t="shared" ref="G45:AG45" si="37">SUM(G40:G44)</f>
        <v>0.33333333333333331</v>
      </c>
      <c r="H45" s="30">
        <f t="shared" si="37"/>
        <v>0</v>
      </c>
      <c r="I45" s="30">
        <f t="shared" si="37"/>
        <v>0.29166666666666669</v>
      </c>
      <c r="J45" s="30">
        <f t="shared" si="37"/>
        <v>0.33333333333333331</v>
      </c>
      <c r="K45" s="30">
        <f t="shared" si="37"/>
        <v>0.16666666666666666</v>
      </c>
      <c r="L45" s="30">
        <f t="shared" si="37"/>
        <v>0</v>
      </c>
      <c r="M45" s="30">
        <f t="shared" si="37"/>
        <v>0</v>
      </c>
      <c r="N45" s="30">
        <f t="shared" si="37"/>
        <v>0.33333333333333331</v>
      </c>
      <c r="O45" s="30">
        <f t="shared" si="37"/>
        <v>0.33333333333333331</v>
      </c>
      <c r="P45" s="30">
        <f t="shared" si="37"/>
        <v>0.33333333333333331</v>
      </c>
      <c r="Q45" s="30">
        <f t="shared" si="37"/>
        <v>0.33333333333333331</v>
      </c>
      <c r="R45" s="30">
        <f t="shared" si="37"/>
        <v>0.33333333333333331</v>
      </c>
      <c r="S45" s="30">
        <f t="shared" si="37"/>
        <v>0</v>
      </c>
      <c r="T45" s="30">
        <f t="shared" si="37"/>
        <v>0</v>
      </c>
      <c r="U45" s="30">
        <f t="shared" si="37"/>
        <v>0.33333333333333331</v>
      </c>
      <c r="V45" s="30">
        <f t="shared" si="37"/>
        <v>0.33333333333333331</v>
      </c>
      <c r="W45" s="30">
        <f t="shared" si="37"/>
        <v>0.29166666666666669</v>
      </c>
      <c r="X45" s="30">
        <f t="shared" si="37"/>
        <v>0.33333333333333331</v>
      </c>
      <c r="Y45" s="30">
        <f t="shared" si="37"/>
        <v>0</v>
      </c>
      <c r="Z45" s="30">
        <f t="shared" si="37"/>
        <v>0</v>
      </c>
      <c r="AA45" s="30">
        <f t="shared" si="37"/>
        <v>0</v>
      </c>
      <c r="AB45" s="30">
        <f t="shared" si="37"/>
        <v>0.33333333333333331</v>
      </c>
      <c r="AC45" s="30">
        <f t="shared" si="37"/>
        <v>0.33333333333333331</v>
      </c>
      <c r="AD45" s="30">
        <f t="shared" si="37"/>
        <v>0.33333333333333331</v>
      </c>
      <c r="AE45" s="30">
        <f t="shared" si="37"/>
        <v>0.33333333333333331</v>
      </c>
      <c r="AF45" s="30">
        <f t="shared" si="37"/>
        <v>0.33333333333333331</v>
      </c>
      <c r="AG45" s="30">
        <f t="shared" si="37"/>
        <v>0.33333333333333331</v>
      </c>
      <c r="AH45" s="65">
        <f t="shared" ref="AH45" si="38">SUM(AH40:AH44)</f>
        <v>0</v>
      </c>
      <c r="AI45" s="58">
        <f>SUM(E45:AH45)</f>
        <v>6.0833333333333321</v>
      </c>
    </row>
    <row r="46" spans="1:36" ht="16.5" thickTop="1">
      <c r="A46" s="81">
        <v>5</v>
      </c>
      <c r="B46" s="74" t="s">
        <v>33</v>
      </c>
      <c r="C46" s="23" t="s">
        <v>0</v>
      </c>
      <c r="D46" s="24"/>
      <c r="E46" s="36"/>
      <c r="F46" s="25"/>
      <c r="G46" s="25">
        <v>0.35416666666666669</v>
      </c>
      <c r="H46" s="25">
        <v>0.41666666666666669</v>
      </c>
      <c r="I46" s="25">
        <v>0.35416666666666669</v>
      </c>
      <c r="J46" s="25">
        <v>0.35416666666666669</v>
      </c>
      <c r="K46" s="25">
        <v>0.35416666666666669</v>
      </c>
      <c r="L46" s="25"/>
      <c r="M46" s="25"/>
      <c r="N46" s="25">
        <v>0.41666666666666669</v>
      </c>
      <c r="O46" s="25">
        <v>0.35416666666666669</v>
      </c>
      <c r="P46" s="25">
        <v>0.35416666666666669</v>
      </c>
      <c r="Q46" s="25">
        <v>0.35416666666666669</v>
      </c>
      <c r="R46" s="25">
        <v>0.35416666666666669</v>
      </c>
      <c r="S46" s="25"/>
      <c r="T46" s="25"/>
      <c r="U46" s="25">
        <v>0.35416666666666669</v>
      </c>
      <c r="V46" s="25">
        <v>0.39583333333333331</v>
      </c>
      <c r="W46" s="25">
        <v>0.375</v>
      </c>
      <c r="X46" s="25">
        <v>0.35416666666666669</v>
      </c>
      <c r="Y46" s="25">
        <v>0.35416666666666669</v>
      </c>
      <c r="Z46" s="25"/>
      <c r="AA46" s="25"/>
      <c r="AB46" s="25">
        <v>0.35416666666666669</v>
      </c>
      <c r="AC46" s="25">
        <v>0.5</v>
      </c>
      <c r="AD46" s="25">
        <v>0.35416666666666669</v>
      </c>
      <c r="AE46" s="25">
        <v>0.35416666666666669</v>
      </c>
      <c r="AF46" s="25">
        <v>0.35416666666666669</v>
      </c>
      <c r="AG46" s="25"/>
      <c r="AH46" s="66"/>
      <c r="AI46" s="57"/>
    </row>
    <row r="47" spans="1:36">
      <c r="A47" s="82"/>
      <c r="B47" s="77" t="s">
        <v>37</v>
      </c>
      <c r="C47" s="3" t="s">
        <v>1</v>
      </c>
      <c r="D47" s="4"/>
      <c r="E47" s="37"/>
      <c r="F47" s="5"/>
      <c r="G47" s="5">
        <v>0.75</v>
      </c>
      <c r="H47" s="5">
        <v>0.77083333333333337</v>
      </c>
      <c r="I47" s="5">
        <v>0.75</v>
      </c>
      <c r="J47" s="5">
        <v>0.72916666666666663</v>
      </c>
      <c r="K47" s="5">
        <v>0.75</v>
      </c>
      <c r="L47" s="5"/>
      <c r="M47" s="5"/>
      <c r="N47" s="5">
        <v>0.75</v>
      </c>
      <c r="O47" s="5">
        <v>0.75</v>
      </c>
      <c r="P47" s="5">
        <v>0.75</v>
      </c>
      <c r="Q47" s="5">
        <v>0.75</v>
      </c>
      <c r="R47" s="5">
        <v>0.75</v>
      </c>
      <c r="S47" s="5"/>
      <c r="T47" s="5"/>
      <c r="U47" s="5">
        <v>0.75</v>
      </c>
      <c r="V47" s="5">
        <v>0.75</v>
      </c>
      <c r="W47" s="5">
        <v>0.72916666666666663</v>
      </c>
      <c r="X47" s="5">
        <v>0.75</v>
      </c>
      <c r="Y47" s="5">
        <v>0.75</v>
      </c>
      <c r="Z47" s="5"/>
      <c r="AA47" s="5"/>
      <c r="AB47" s="5">
        <v>0.75</v>
      </c>
      <c r="AC47" s="5">
        <v>0.75</v>
      </c>
      <c r="AD47" s="5">
        <v>0.75</v>
      </c>
      <c r="AE47" s="5">
        <v>0.75</v>
      </c>
      <c r="AF47" s="5">
        <v>0.75</v>
      </c>
      <c r="AG47" s="5"/>
      <c r="AH47" s="61"/>
      <c r="AI47" s="52"/>
    </row>
    <row r="48" spans="1:36" ht="16.5" thickBot="1">
      <c r="A48" s="82"/>
      <c r="B48" s="77"/>
      <c r="C48" s="8" t="s">
        <v>2</v>
      </c>
      <c r="D48" s="10"/>
      <c r="E48" s="38"/>
      <c r="F48" s="9"/>
      <c r="G48" s="9">
        <v>6.25E-2</v>
      </c>
      <c r="H48" s="9">
        <v>6.25E-2</v>
      </c>
      <c r="I48" s="9">
        <v>6.25E-2</v>
      </c>
      <c r="J48" s="9">
        <v>6.25E-2</v>
      </c>
      <c r="K48" s="9">
        <v>6.25E-2</v>
      </c>
      <c r="L48" s="9"/>
      <c r="M48" s="9"/>
      <c r="N48" s="9">
        <v>6.25E-2</v>
      </c>
      <c r="O48" s="9">
        <v>6.25E-2</v>
      </c>
      <c r="P48" s="9">
        <v>6.25E-2</v>
      </c>
      <c r="Q48" s="9">
        <v>6.25E-2</v>
      </c>
      <c r="R48" s="9">
        <v>6.25E-2</v>
      </c>
      <c r="S48" s="9"/>
      <c r="T48" s="9"/>
      <c r="U48" s="9">
        <v>6.25E-2</v>
      </c>
      <c r="V48" s="9">
        <v>6.25E-2</v>
      </c>
      <c r="W48" s="9">
        <v>6.25E-2</v>
      </c>
      <c r="X48" s="9">
        <v>6.25E-2</v>
      </c>
      <c r="Y48" s="9">
        <v>6.25E-2</v>
      </c>
      <c r="Z48" s="9"/>
      <c r="AA48" s="9"/>
      <c r="AB48" s="9">
        <v>6.25E-2</v>
      </c>
      <c r="AC48" s="9">
        <v>6.25E-2</v>
      </c>
      <c r="AD48" s="9">
        <v>6.25E-2</v>
      </c>
      <c r="AE48" s="9">
        <v>6.25E-2</v>
      </c>
      <c r="AF48" s="9">
        <v>6.25E-2</v>
      </c>
      <c r="AG48" s="9"/>
      <c r="AH48" s="62"/>
      <c r="AI48" s="53"/>
    </row>
    <row r="49" spans="1:36" ht="16.5" thickTop="1">
      <c r="A49" s="82"/>
      <c r="B49" s="75"/>
      <c r="C49" s="17" t="s">
        <v>12</v>
      </c>
      <c r="D49" s="18"/>
      <c r="E49" s="19">
        <f>E47-E46-E48</f>
        <v>0</v>
      </c>
      <c r="F49" s="20">
        <f t="shared" ref="F49:G49" si="39">F47-F46-F48</f>
        <v>0</v>
      </c>
      <c r="G49" s="20">
        <f t="shared" si="39"/>
        <v>0.33333333333333331</v>
      </c>
      <c r="H49" s="20">
        <f t="shared" ref="H49:K49" si="40">H47-H46-H48</f>
        <v>0.29166666666666669</v>
      </c>
      <c r="I49" s="20">
        <f t="shared" si="40"/>
        <v>0.33333333333333331</v>
      </c>
      <c r="J49" s="20">
        <f t="shared" si="40"/>
        <v>0.31249999999999994</v>
      </c>
      <c r="K49" s="20">
        <f t="shared" si="40"/>
        <v>0.33333333333333331</v>
      </c>
      <c r="L49" s="20">
        <f>L47-L46-L48</f>
        <v>0</v>
      </c>
      <c r="M49" s="20">
        <f t="shared" ref="M49:O49" si="41">M47-M46-M48</f>
        <v>0</v>
      </c>
      <c r="N49" s="20">
        <f t="shared" si="41"/>
        <v>0.27083333333333331</v>
      </c>
      <c r="O49" s="20">
        <f t="shared" si="41"/>
        <v>0.33333333333333331</v>
      </c>
      <c r="P49" s="20">
        <f>P47-P46-P48</f>
        <v>0.33333333333333331</v>
      </c>
      <c r="Q49" s="20">
        <f t="shared" ref="Q49:R49" si="42">Q47-Q46-Q48</f>
        <v>0.33333333333333331</v>
      </c>
      <c r="R49" s="20">
        <f t="shared" si="42"/>
        <v>0.33333333333333331</v>
      </c>
      <c r="S49" s="20">
        <f t="shared" ref="S49:Y49" si="43">S47-S46-S48</f>
        <v>0</v>
      </c>
      <c r="T49" s="20">
        <f t="shared" si="43"/>
        <v>0</v>
      </c>
      <c r="U49" s="20">
        <f t="shared" si="43"/>
        <v>0.33333333333333331</v>
      </c>
      <c r="V49" s="20">
        <f t="shared" si="43"/>
        <v>0.29166666666666669</v>
      </c>
      <c r="W49" s="20">
        <f t="shared" si="43"/>
        <v>0.29166666666666663</v>
      </c>
      <c r="X49" s="20">
        <f t="shared" si="43"/>
        <v>0.33333333333333331</v>
      </c>
      <c r="Y49" s="20">
        <f t="shared" si="43"/>
        <v>0.33333333333333331</v>
      </c>
      <c r="Z49" s="20">
        <f t="shared" ref="Z49:AD49" si="44">Z47-Z46-Z48</f>
        <v>0</v>
      </c>
      <c r="AA49" s="20">
        <f t="shared" si="44"/>
        <v>0</v>
      </c>
      <c r="AB49" s="20">
        <f t="shared" si="44"/>
        <v>0.33333333333333331</v>
      </c>
      <c r="AC49" s="20">
        <f t="shared" si="44"/>
        <v>0.1875</v>
      </c>
      <c r="AD49" s="20">
        <f t="shared" si="44"/>
        <v>0.33333333333333331</v>
      </c>
      <c r="AE49" s="20">
        <f t="shared" ref="AE49:AH49" si="45">AE47-AE46-AE48</f>
        <v>0.33333333333333331</v>
      </c>
      <c r="AF49" s="20">
        <f>AF47-AF46-AF48</f>
        <v>0.33333333333333331</v>
      </c>
      <c r="AG49" s="20">
        <f t="shared" si="45"/>
        <v>0</v>
      </c>
      <c r="AH49" s="63">
        <f t="shared" si="45"/>
        <v>0</v>
      </c>
      <c r="AI49" s="54">
        <f>SUM(E49:AH49)</f>
        <v>6.3124999999999982</v>
      </c>
    </row>
    <row r="50" spans="1:36">
      <c r="A50" s="82"/>
      <c r="B50" s="75"/>
      <c r="C50" s="2" t="s">
        <v>4</v>
      </c>
      <c r="D50" s="3" t="s">
        <v>5</v>
      </c>
      <c r="E50" s="39"/>
      <c r="F50" s="7"/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/>
      <c r="M50" s="7"/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/>
      <c r="T50" s="7"/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/>
      <c r="AA50" s="7"/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/>
      <c r="AH50" s="64"/>
      <c r="AI50" s="55">
        <f t="shared" ref="AI50:AI54" si="46">SUM(E50:AH50)</f>
        <v>0</v>
      </c>
    </row>
    <row r="51" spans="1:36">
      <c r="A51" s="82"/>
      <c r="B51" s="75"/>
      <c r="C51" s="6"/>
      <c r="D51" s="43" t="s">
        <v>6</v>
      </c>
      <c r="E51" s="71"/>
      <c r="F51" s="78"/>
      <c r="G51" s="78">
        <v>0.33333333333333331</v>
      </c>
      <c r="H51" s="78">
        <v>0.29166666666666669</v>
      </c>
      <c r="I51" s="78">
        <v>0.33333333333333331</v>
      </c>
      <c r="J51" s="78">
        <v>0.3125</v>
      </c>
      <c r="K51" s="78">
        <v>0.33333333333333331</v>
      </c>
      <c r="L51" s="78"/>
      <c r="M51" s="78"/>
      <c r="N51" s="78">
        <v>0.27083333333333331</v>
      </c>
      <c r="O51" s="78">
        <v>0.33333333333333331</v>
      </c>
      <c r="P51" s="78">
        <v>0.33333333333333331</v>
      </c>
      <c r="Q51" s="78">
        <v>0.33333333333333331</v>
      </c>
      <c r="R51" s="78">
        <v>0.33333333333333331</v>
      </c>
      <c r="S51" s="78"/>
      <c r="T51" s="78"/>
      <c r="U51" s="78">
        <v>0.33333333333333331</v>
      </c>
      <c r="V51" s="78">
        <v>0.29166666666666669</v>
      </c>
      <c r="W51" s="78">
        <v>0.29166666666666669</v>
      </c>
      <c r="X51" s="78">
        <v>0.33333333333333331</v>
      </c>
      <c r="Y51" s="78">
        <v>0.33333333333333331</v>
      </c>
      <c r="Z51" s="78"/>
      <c r="AA51" s="78"/>
      <c r="AB51" s="78">
        <v>0.33333333333333331</v>
      </c>
      <c r="AC51" s="78">
        <v>0.1875</v>
      </c>
      <c r="AD51" s="78">
        <v>0.33333333333333331</v>
      </c>
      <c r="AE51" s="78">
        <v>0.33333333333333331</v>
      </c>
      <c r="AF51" s="78">
        <v>0.33333333333333331</v>
      </c>
      <c r="AG51" s="78"/>
      <c r="AH51" s="79"/>
      <c r="AI51" s="80">
        <f t="shared" si="46"/>
        <v>6.3124999999999982</v>
      </c>
    </row>
    <row r="52" spans="1:36">
      <c r="A52" s="82"/>
      <c r="B52" s="75"/>
      <c r="C52" s="6"/>
      <c r="D52" s="3" t="s">
        <v>21</v>
      </c>
      <c r="E52" s="39"/>
      <c r="F52" s="7"/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/>
      <c r="M52" s="7"/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/>
      <c r="T52" s="7"/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/>
      <c r="AA52" s="7"/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/>
      <c r="AH52" s="64"/>
      <c r="AI52" s="55">
        <f t="shared" si="46"/>
        <v>0</v>
      </c>
    </row>
    <row r="53" spans="1:36">
      <c r="A53" s="82"/>
      <c r="B53" s="75"/>
      <c r="C53" s="6"/>
      <c r="D53" s="3" t="s">
        <v>30</v>
      </c>
      <c r="E53" s="39"/>
      <c r="F53" s="7"/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/>
      <c r="M53" s="7"/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/>
      <c r="T53" s="7"/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/>
      <c r="AA53" s="7"/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/>
      <c r="AH53" s="64"/>
      <c r="AI53" s="55">
        <f t="shared" si="46"/>
        <v>0</v>
      </c>
    </row>
    <row r="54" spans="1:36" ht="16.5" thickBot="1">
      <c r="A54" s="82"/>
      <c r="B54" s="75"/>
      <c r="C54" s="6"/>
      <c r="D54" s="3" t="s">
        <v>34</v>
      </c>
      <c r="E54" s="39"/>
      <c r="F54" s="7"/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/>
      <c r="M54" s="7"/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/>
      <c r="T54" s="7"/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/>
      <c r="AA54" s="7"/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/>
      <c r="AH54" s="64"/>
      <c r="AI54" s="55">
        <f t="shared" si="46"/>
        <v>0</v>
      </c>
    </row>
    <row r="55" spans="1:36" ht="17.25" thickTop="1" thickBot="1">
      <c r="A55" s="83"/>
      <c r="B55" s="76"/>
      <c r="C55" s="27" t="s">
        <v>7</v>
      </c>
      <c r="D55" s="28"/>
      <c r="E55" s="29">
        <f>SUM(E50:E54)</f>
        <v>0</v>
      </c>
      <c r="F55" s="30">
        <f>SUM(F50:F54)</f>
        <v>0</v>
      </c>
      <c r="G55" s="30">
        <f t="shared" ref="G55:AG55" si="47">SUM(G50:G54)</f>
        <v>0.33333333333333331</v>
      </c>
      <c r="H55" s="30">
        <f t="shared" si="47"/>
        <v>0.29166666666666669</v>
      </c>
      <c r="I55" s="30">
        <f t="shared" si="47"/>
        <v>0.33333333333333331</v>
      </c>
      <c r="J55" s="30">
        <f t="shared" si="47"/>
        <v>0.3125</v>
      </c>
      <c r="K55" s="30">
        <f t="shared" si="47"/>
        <v>0.33333333333333331</v>
      </c>
      <c r="L55" s="30">
        <f t="shared" si="47"/>
        <v>0</v>
      </c>
      <c r="M55" s="30">
        <f t="shared" si="47"/>
        <v>0</v>
      </c>
      <c r="N55" s="30">
        <f t="shared" si="47"/>
        <v>0.27083333333333331</v>
      </c>
      <c r="O55" s="30">
        <f t="shared" si="47"/>
        <v>0.33333333333333331</v>
      </c>
      <c r="P55" s="30">
        <f t="shared" si="47"/>
        <v>0.33333333333333331</v>
      </c>
      <c r="Q55" s="30">
        <f t="shared" si="47"/>
        <v>0.33333333333333331</v>
      </c>
      <c r="R55" s="30">
        <f t="shared" si="47"/>
        <v>0.33333333333333331</v>
      </c>
      <c r="S55" s="30">
        <f t="shared" si="47"/>
        <v>0</v>
      </c>
      <c r="T55" s="30">
        <f t="shared" si="47"/>
        <v>0</v>
      </c>
      <c r="U55" s="30">
        <f t="shared" si="47"/>
        <v>0.33333333333333331</v>
      </c>
      <c r="V55" s="30">
        <f t="shared" si="47"/>
        <v>0.29166666666666669</v>
      </c>
      <c r="W55" s="30">
        <f t="shared" si="47"/>
        <v>0.29166666666666669</v>
      </c>
      <c r="X55" s="30">
        <f t="shared" si="47"/>
        <v>0.33333333333333331</v>
      </c>
      <c r="Y55" s="30">
        <f t="shared" si="47"/>
        <v>0.33333333333333331</v>
      </c>
      <c r="Z55" s="30">
        <f t="shared" si="47"/>
        <v>0</v>
      </c>
      <c r="AA55" s="30">
        <f t="shared" si="47"/>
        <v>0</v>
      </c>
      <c r="AB55" s="30">
        <f t="shared" si="47"/>
        <v>0.33333333333333331</v>
      </c>
      <c r="AC55" s="30">
        <f t="shared" si="47"/>
        <v>0.1875</v>
      </c>
      <c r="AD55" s="30">
        <f t="shared" si="47"/>
        <v>0.33333333333333331</v>
      </c>
      <c r="AE55" s="30">
        <f t="shared" si="47"/>
        <v>0.33333333333333331</v>
      </c>
      <c r="AF55" s="30">
        <f t="shared" si="47"/>
        <v>0.33333333333333331</v>
      </c>
      <c r="AG55" s="30">
        <f t="shared" si="47"/>
        <v>0</v>
      </c>
      <c r="AH55" s="65">
        <f t="shared" ref="AH55" si="48">SUM(AH50:AH54)</f>
        <v>0</v>
      </c>
      <c r="AI55" s="58">
        <f>SUM(E55:AH55)</f>
        <v>6.3124999999999982</v>
      </c>
      <c r="AJ55" s="42"/>
    </row>
    <row r="56" spans="1:36" ht="16.5" thickTop="1">
      <c r="A56" s="81">
        <v>6</v>
      </c>
      <c r="B56" s="74" t="s">
        <v>42</v>
      </c>
      <c r="C56" s="23" t="s">
        <v>0</v>
      </c>
      <c r="D56" s="24"/>
      <c r="E56" s="36"/>
      <c r="F56" s="25"/>
      <c r="G56" s="25">
        <v>0.35416666666666669</v>
      </c>
      <c r="H56" s="25">
        <v>0.35416666666666669</v>
      </c>
      <c r="I56" s="25">
        <v>0.35416666666666669</v>
      </c>
      <c r="J56" s="25">
        <v>0.35416666666666669</v>
      </c>
      <c r="K56" s="25">
        <v>0.35416666666666669</v>
      </c>
      <c r="L56" s="25"/>
      <c r="M56" s="25"/>
      <c r="N56" s="25"/>
      <c r="O56" s="25">
        <v>0.35416666666666669</v>
      </c>
      <c r="P56" s="25">
        <v>0.35416666666666669</v>
      </c>
      <c r="Q56" s="25">
        <v>0.35416666666666669</v>
      </c>
      <c r="R56" s="25">
        <v>0.35416666666666669</v>
      </c>
      <c r="S56" s="25"/>
      <c r="T56" s="25"/>
      <c r="U56" s="25">
        <v>0.35416666666666669</v>
      </c>
      <c r="V56" s="25">
        <v>0.35416666666666669</v>
      </c>
      <c r="W56" s="25">
        <v>0.35416666666666669</v>
      </c>
      <c r="X56" s="25">
        <v>0.35416666666666669</v>
      </c>
      <c r="Y56" s="25">
        <v>0.35416666666666669</v>
      </c>
      <c r="Z56" s="25"/>
      <c r="AA56" s="25"/>
      <c r="AB56" s="25">
        <v>0.35416666666666669</v>
      </c>
      <c r="AC56" s="25">
        <v>0.35416666666666669</v>
      </c>
      <c r="AD56" s="25">
        <v>0.35416666666666669</v>
      </c>
      <c r="AE56" s="25">
        <v>0.35416666666666669</v>
      </c>
      <c r="AF56" s="25">
        <v>0.35416666666666669</v>
      </c>
      <c r="AG56" s="25">
        <v>0.35416666666666669</v>
      </c>
      <c r="AH56" s="66"/>
      <c r="AI56" s="57"/>
    </row>
    <row r="57" spans="1:36">
      <c r="A57" s="82"/>
      <c r="B57" s="77" t="s">
        <v>37</v>
      </c>
      <c r="C57" s="3" t="s">
        <v>1</v>
      </c>
      <c r="D57" s="4"/>
      <c r="E57" s="37"/>
      <c r="F57" s="5"/>
      <c r="G57" s="5">
        <v>0.75</v>
      </c>
      <c r="H57" s="5">
        <v>0.75</v>
      </c>
      <c r="I57" s="5">
        <v>0.75</v>
      </c>
      <c r="J57" s="5">
        <v>0.75</v>
      </c>
      <c r="K57" s="5">
        <v>0.75</v>
      </c>
      <c r="L57" s="5"/>
      <c r="M57" s="5"/>
      <c r="N57" s="5"/>
      <c r="O57" s="5">
        <v>0.75</v>
      </c>
      <c r="P57" s="5">
        <v>0.75</v>
      </c>
      <c r="Q57" s="5">
        <v>0.75</v>
      </c>
      <c r="R57" s="5">
        <v>0.75</v>
      </c>
      <c r="S57" s="5"/>
      <c r="T57" s="5"/>
      <c r="U57" s="5">
        <v>0.75</v>
      </c>
      <c r="V57" s="5">
        <v>0.75</v>
      </c>
      <c r="W57" s="5">
        <v>0.75</v>
      </c>
      <c r="X57" s="5">
        <v>0.75</v>
      </c>
      <c r="Y57" s="5">
        <v>0.75</v>
      </c>
      <c r="Z57" s="5"/>
      <c r="AA57" s="5"/>
      <c r="AB57" s="5">
        <v>0.75</v>
      </c>
      <c r="AC57" s="5">
        <v>0.75</v>
      </c>
      <c r="AD57" s="5">
        <v>0.75</v>
      </c>
      <c r="AE57" s="5">
        <v>0.75</v>
      </c>
      <c r="AF57" s="5">
        <v>0.75</v>
      </c>
      <c r="AG57" s="5">
        <v>0.75</v>
      </c>
      <c r="AH57" s="61"/>
      <c r="AI57" s="52"/>
    </row>
    <row r="58" spans="1:36" ht="16.5" thickBot="1">
      <c r="A58" s="82"/>
      <c r="B58" s="77"/>
      <c r="C58" s="8" t="s">
        <v>2</v>
      </c>
      <c r="D58" s="10"/>
      <c r="E58" s="38"/>
      <c r="F58" s="9"/>
      <c r="G58" s="9">
        <v>6.25E-2</v>
      </c>
      <c r="H58" s="9">
        <v>6.25E-2</v>
      </c>
      <c r="I58" s="9">
        <v>6.25E-2</v>
      </c>
      <c r="J58" s="9">
        <v>6.25E-2</v>
      </c>
      <c r="K58" s="9">
        <v>6.25E-2</v>
      </c>
      <c r="L58" s="9"/>
      <c r="M58" s="9"/>
      <c r="N58" s="9"/>
      <c r="O58" s="9">
        <v>6.25E-2</v>
      </c>
      <c r="P58" s="9">
        <v>6.25E-2</v>
      </c>
      <c r="Q58" s="9">
        <v>6.25E-2</v>
      </c>
      <c r="R58" s="9">
        <v>6.25E-2</v>
      </c>
      <c r="S58" s="9"/>
      <c r="T58" s="9"/>
      <c r="U58" s="9">
        <v>6.25E-2</v>
      </c>
      <c r="V58" s="9">
        <v>6.25E-2</v>
      </c>
      <c r="W58" s="9">
        <v>6.25E-2</v>
      </c>
      <c r="X58" s="9">
        <v>6.25E-2</v>
      </c>
      <c r="Y58" s="9">
        <v>6.25E-2</v>
      </c>
      <c r="Z58" s="9"/>
      <c r="AA58" s="9"/>
      <c r="AB58" s="9">
        <v>6.25E-2</v>
      </c>
      <c r="AC58" s="9">
        <v>6.25E-2</v>
      </c>
      <c r="AD58" s="9">
        <v>6.25E-2</v>
      </c>
      <c r="AE58" s="9">
        <v>6.25E-2</v>
      </c>
      <c r="AF58" s="9">
        <v>6.25E-2</v>
      </c>
      <c r="AG58" s="9">
        <v>6.25E-2</v>
      </c>
      <c r="AH58" s="62"/>
      <c r="AI58" s="53"/>
    </row>
    <row r="59" spans="1:36" ht="16.5" thickTop="1">
      <c r="A59" s="82"/>
      <c r="B59" s="75"/>
      <c r="C59" s="17" t="s">
        <v>12</v>
      </c>
      <c r="D59" s="18"/>
      <c r="E59" s="19">
        <f t="shared" ref="E59:G59" si="49">E57-E56-E58</f>
        <v>0</v>
      </c>
      <c r="F59" s="20">
        <f t="shared" si="49"/>
        <v>0</v>
      </c>
      <c r="G59" s="20">
        <f t="shared" si="49"/>
        <v>0.33333333333333331</v>
      </c>
      <c r="H59" s="20">
        <f t="shared" ref="H59:AD59" si="50">H57-H56-H58</f>
        <v>0.33333333333333331</v>
      </c>
      <c r="I59" s="20">
        <f t="shared" si="50"/>
        <v>0.33333333333333331</v>
      </c>
      <c r="J59" s="20">
        <f t="shared" si="50"/>
        <v>0.33333333333333331</v>
      </c>
      <c r="K59" s="20">
        <f t="shared" si="50"/>
        <v>0.33333333333333331</v>
      </c>
      <c r="L59" s="20">
        <f t="shared" si="50"/>
        <v>0</v>
      </c>
      <c r="M59" s="20">
        <f t="shared" si="50"/>
        <v>0</v>
      </c>
      <c r="N59" s="20">
        <f t="shared" si="50"/>
        <v>0</v>
      </c>
      <c r="O59" s="20">
        <f t="shared" si="50"/>
        <v>0.33333333333333331</v>
      </c>
      <c r="P59" s="20">
        <f>P57-P56-P58</f>
        <v>0.33333333333333331</v>
      </c>
      <c r="Q59" s="20">
        <f t="shared" si="50"/>
        <v>0.33333333333333331</v>
      </c>
      <c r="R59" s="20">
        <f t="shared" si="50"/>
        <v>0.33333333333333331</v>
      </c>
      <c r="S59" s="20">
        <f t="shared" ref="S59:Y59" si="51">S57-S56-S58</f>
        <v>0</v>
      </c>
      <c r="T59" s="20">
        <f t="shared" si="51"/>
        <v>0</v>
      </c>
      <c r="U59" s="20">
        <f t="shared" si="51"/>
        <v>0.33333333333333331</v>
      </c>
      <c r="V59" s="20">
        <f t="shared" si="51"/>
        <v>0.33333333333333331</v>
      </c>
      <c r="W59" s="20">
        <f t="shared" si="51"/>
        <v>0.33333333333333331</v>
      </c>
      <c r="X59" s="20">
        <f t="shared" si="51"/>
        <v>0.33333333333333331</v>
      </c>
      <c r="Y59" s="20">
        <f t="shared" si="51"/>
        <v>0.33333333333333331</v>
      </c>
      <c r="Z59" s="20">
        <f t="shared" si="50"/>
        <v>0</v>
      </c>
      <c r="AA59" s="20">
        <f t="shared" si="50"/>
        <v>0</v>
      </c>
      <c r="AB59" s="20">
        <f t="shared" si="50"/>
        <v>0.33333333333333331</v>
      </c>
      <c r="AC59" s="20">
        <f t="shared" si="50"/>
        <v>0.33333333333333331</v>
      </c>
      <c r="AD59" s="20">
        <f t="shared" si="50"/>
        <v>0.33333333333333331</v>
      </c>
      <c r="AE59" s="20">
        <f t="shared" ref="AE59:AH59" si="52">AE57-AE56-AE58</f>
        <v>0.33333333333333331</v>
      </c>
      <c r="AF59" s="20">
        <f t="shared" si="52"/>
        <v>0.33333333333333331</v>
      </c>
      <c r="AG59" s="20">
        <f t="shared" si="52"/>
        <v>0.33333333333333331</v>
      </c>
      <c r="AH59" s="63">
        <f t="shared" si="52"/>
        <v>0</v>
      </c>
      <c r="AI59" s="54">
        <f t="shared" ref="AI59:AI65" si="53">SUM(E59:AH59)</f>
        <v>6.6666666666666643</v>
      </c>
    </row>
    <row r="60" spans="1:36">
      <c r="A60" s="82"/>
      <c r="B60" s="75"/>
      <c r="C60" s="2" t="s">
        <v>4</v>
      </c>
      <c r="D60" s="3" t="s">
        <v>5</v>
      </c>
      <c r="E60" s="39"/>
      <c r="F60" s="7"/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/>
      <c r="M60" s="7"/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/>
      <c r="T60" s="7"/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/>
      <c r="AA60" s="7"/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64"/>
      <c r="AI60" s="55">
        <f t="shared" si="53"/>
        <v>0</v>
      </c>
    </row>
    <row r="61" spans="1:36" s="72" customFormat="1">
      <c r="A61" s="82"/>
      <c r="B61" s="75"/>
      <c r="C61" s="70"/>
      <c r="D61" s="43" t="s">
        <v>6</v>
      </c>
      <c r="E61" s="71"/>
      <c r="F61" s="78"/>
      <c r="G61" s="78">
        <v>0.33333333333333331</v>
      </c>
      <c r="H61" s="78">
        <v>0.33333333333333331</v>
      </c>
      <c r="I61" s="78">
        <v>0.33333333333333331</v>
      </c>
      <c r="J61" s="78">
        <v>0.33333333333333331</v>
      </c>
      <c r="K61" s="78">
        <v>0.33333333333333331</v>
      </c>
      <c r="L61" s="78"/>
      <c r="M61" s="78"/>
      <c r="N61" s="78">
        <v>0</v>
      </c>
      <c r="O61" s="78">
        <v>0.33333333333333331</v>
      </c>
      <c r="P61" s="78">
        <v>0.33333333333333331</v>
      </c>
      <c r="Q61" s="78">
        <v>0.33333333333333331</v>
      </c>
      <c r="R61" s="78">
        <v>0.33333333333333331</v>
      </c>
      <c r="S61" s="78"/>
      <c r="T61" s="78"/>
      <c r="U61" s="78">
        <v>0.33333333333333331</v>
      </c>
      <c r="V61" s="78">
        <v>0.33333333333333331</v>
      </c>
      <c r="W61" s="78">
        <v>0.33333333333333331</v>
      </c>
      <c r="X61" s="78">
        <v>0.33333333333333331</v>
      </c>
      <c r="Y61" s="78">
        <v>0.33333333333333331</v>
      </c>
      <c r="Z61" s="78"/>
      <c r="AA61" s="78"/>
      <c r="AB61" s="78">
        <v>0.33333333333333331</v>
      </c>
      <c r="AC61" s="78">
        <v>0.33333333333333331</v>
      </c>
      <c r="AD61" s="78">
        <v>0.33333333333333331</v>
      </c>
      <c r="AE61" s="78">
        <v>0.33333333333333331</v>
      </c>
      <c r="AF61" s="78">
        <v>0.33333333333333331</v>
      </c>
      <c r="AG61" s="78">
        <v>0.33333333333333331</v>
      </c>
      <c r="AH61" s="79"/>
      <c r="AI61" s="80">
        <f t="shared" si="53"/>
        <v>6.6666666666666643</v>
      </c>
    </row>
    <row r="62" spans="1:36">
      <c r="A62" s="82"/>
      <c r="B62" s="75"/>
      <c r="C62" s="6"/>
      <c r="D62" s="3" t="s">
        <v>21</v>
      </c>
      <c r="E62" s="39"/>
      <c r="F62" s="7"/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/>
      <c r="M62" s="7"/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/>
      <c r="T62" s="7"/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/>
      <c r="AA62" s="7"/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64"/>
      <c r="AI62" s="55">
        <f t="shared" si="53"/>
        <v>0</v>
      </c>
    </row>
    <row r="63" spans="1:36">
      <c r="A63" s="82"/>
      <c r="B63" s="75"/>
      <c r="C63" s="6"/>
      <c r="D63" s="3" t="s">
        <v>30</v>
      </c>
      <c r="E63" s="39"/>
      <c r="F63" s="7"/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/>
      <c r="M63" s="7"/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/>
      <c r="T63" s="7"/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/>
      <c r="AA63" s="7"/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64"/>
      <c r="AI63" s="55">
        <f t="shared" si="53"/>
        <v>0</v>
      </c>
    </row>
    <row r="64" spans="1:36" ht="16.5" thickBot="1">
      <c r="A64" s="82"/>
      <c r="B64" s="75"/>
      <c r="C64" s="6"/>
      <c r="D64" s="3" t="s">
        <v>34</v>
      </c>
      <c r="E64" s="39"/>
      <c r="F64" s="7"/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/>
      <c r="M64" s="7"/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/>
      <c r="T64" s="7"/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/>
      <c r="AA64" s="7"/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64"/>
      <c r="AI64" s="55">
        <f t="shared" si="53"/>
        <v>0</v>
      </c>
    </row>
    <row r="65" spans="1:35" ht="17.25" thickTop="1" thickBot="1">
      <c r="A65" s="83"/>
      <c r="B65" s="76"/>
      <c r="C65" s="27" t="s">
        <v>7</v>
      </c>
      <c r="D65" s="28"/>
      <c r="E65" s="29">
        <f>SUM(E60:E64)</f>
        <v>0</v>
      </c>
      <c r="F65" s="30">
        <f>SUM(F60:F64)</f>
        <v>0</v>
      </c>
      <c r="G65" s="30">
        <f t="shared" ref="G65:AG65" si="54">SUM(G60:G64)</f>
        <v>0.33333333333333331</v>
      </c>
      <c r="H65" s="30">
        <f t="shared" si="54"/>
        <v>0.33333333333333331</v>
      </c>
      <c r="I65" s="30">
        <f t="shared" si="54"/>
        <v>0.33333333333333331</v>
      </c>
      <c r="J65" s="30">
        <f t="shared" si="54"/>
        <v>0.33333333333333331</v>
      </c>
      <c r="K65" s="30">
        <f t="shared" si="54"/>
        <v>0.33333333333333331</v>
      </c>
      <c r="L65" s="30">
        <f t="shared" si="54"/>
        <v>0</v>
      </c>
      <c r="M65" s="30">
        <f t="shared" si="54"/>
        <v>0</v>
      </c>
      <c r="N65" s="30">
        <f t="shared" si="54"/>
        <v>0</v>
      </c>
      <c r="O65" s="30">
        <f t="shared" si="54"/>
        <v>0.33333333333333331</v>
      </c>
      <c r="P65" s="30">
        <f t="shared" si="54"/>
        <v>0.33333333333333331</v>
      </c>
      <c r="Q65" s="30">
        <f t="shared" si="54"/>
        <v>0.33333333333333331</v>
      </c>
      <c r="R65" s="30">
        <f t="shared" si="54"/>
        <v>0.33333333333333331</v>
      </c>
      <c r="S65" s="30">
        <f t="shared" si="54"/>
        <v>0</v>
      </c>
      <c r="T65" s="30">
        <f t="shared" si="54"/>
        <v>0</v>
      </c>
      <c r="U65" s="30">
        <f t="shared" si="54"/>
        <v>0.33333333333333331</v>
      </c>
      <c r="V65" s="30">
        <f t="shared" si="54"/>
        <v>0.33333333333333331</v>
      </c>
      <c r="W65" s="30">
        <f t="shared" si="54"/>
        <v>0.33333333333333331</v>
      </c>
      <c r="X65" s="30">
        <f t="shared" si="54"/>
        <v>0.33333333333333331</v>
      </c>
      <c r="Y65" s="30">
        <f t="shared" si="54"/>
        <v>0.33333333333333331</v>
      </c>
      <c r="Z65" s="30">
        <f t="shared" si="54"/>
        <v>0</v>
      </c>
      <c r="AA65" s="30">
        <f t="shared" si="54"/>
        <v>0</v>
      </c>
      <c r="AB65" s="30">
        <f t="shared" si="54"/>
        <v>0.33333333333333331</v>
      </c>
      <c r="AC65" s="30">
        <f t="shared" si="54"/>
        <v>0.33333333333333331</v>
      </c>
      <c r="AD65" s="30">
        <f t="shared" si="54"/>
        <v>0.33333333333333331</v>
      </c>
      <c r="AE65" s="30">
        <f t="shared" si="54"/>
        <v>0.33333333333333331</v>
      </c>
      <c r="AF65" s="30">
        <f t="shared" si="54"/>
        <v>0.33333333333333331</v>
      </c>
      <c r="AG65" s="30">
        <f t="shared" si="54"/>
        <v>0.33333333333333331</v>
      </c>
      <c r="AH65" s="65">
        <f t="shared" ref="AH65" si="55">SUM(AH60:AH64)</f>
        <v>0</v>
      </c>
      <c r="AI65" s="58">
        <f t="shared" si="53"/>
        <v>6.6666666666666643</v>
      </c>
    </row>
    <row r="66" spans="1:35" ht="16.5" thickTop="1">
      <c r="A66" s="81">
        <v>7</v>
      </c>
      <c r="B66" s="74" t="s">
        <v>41</v>
      </c>
      <c r="C66" s="23" t="s">
        <v>0</v>
      </c>
      <c r="D66" s="24"/>
      <c r="E66" s="36"/>
      <c r="F66" s="25"/>
      <c r="G66" s="25">
        <v>0.35416666666666669</v>
      </c>
      <c r="H66" s="25">
        <v>0.35416666666666669</v>
      </c>
      <c r="I66" s="25">
        <v>0.35416666666666669</v>
      </c>
      <c r="J66" s="25">
        <v>0.35416666666666669</v>
      </c>
      <c r="K66" s="25">
        <v>0.35416666666666669</v>
      </c>
      <c r="L66" s="25"/>
      <c r="M66" s="25"/>
      <c r="N66" s="25"/>
      <c r="O66" s="25">
        <v>0.35416666666666669</v>
      </c>
      <c r="P66" s="25">
        <v>0.35416666666666669</v>
      </c>
      <c r="Q66" s="25">
        <v>0.35416666666666669</v>
      </c>
      <c r="R66" s="25">
        <v>0.35416666666666669</v>
      </c>
      <c r="S66" s="25"/>
      <c r="T66" s="25"/>
      <c r="U66" s="25">
        <v>0.35416666666666669</v>
      </c>
      <c r="V66" s="25">
        <v>0.35416666666666669</v>
      </c>
      <c r="W66" s="25">
        <v>0.35416666666666669</v>
      </c>
      <c r="X66" s="25">
        <v>0.35416666666666669</v>
      </c>
      <c r="Y66" s="25">
        <v>0.35416666666666669</v>
      </c>
      <c r="Z66" s="25"/>
      <c r="AA66" s="25"/>
      <c r="AB66" s="25">
        <v>0.35416666666666669</v>
      </c>
      <c r="AC66" s="25">
        <v>0.35416666666666669</v>
      </c>
      <c r="AD66" s="25">
        <v>0.35416666666666669</v>
      </c>
      <c r="AE66" s="25">
        <v>0.35416666666666669</v>
      </c>
      <c r="AF66" s="25">
        <v>0.35416666666666669</v>
      </c>
      <c r="AG66" s="25">
        <v>0.35416666666666669</v>
      </c>
      <c r="AH66" s="66"/>
      <c r="AI66" s="57"/>
    </row>
    <row r="67" spans="1:35">
      <c r="A67" s="82"/>
      <c r="B67" s="77" t="s">
        <v>37</v>
      </c>
      <c r="C67" s="3" t="s">
        <v>1</v>
      </c>
      <c r="D67" s="4"/>
      <c r="E67" s="37"/>
      <c r="F67" s="5"/>
      <c r="G67" s="5">
        <v>0.75</v>
      </c>
      <c r="H67" s="5">
        <v>0.75</v>
      </c>
      <c r="I67" s="5">
        <v>0.75</v>
      </c>
      <c r="J67" s="5">
        <v>0.75</v>
      </c>
      <c r="K67" s="5">
        <v>0.75</v>
      </c>
      <c r="L67" s="5"/>
      <c r="M67" s="5"/>
      <c r="N67" s="5"/>
      <c r="O67" s="5">
        <v>0.75</v>
      </c>
      <c r="P67" s="5">
        <v>0.75</v>
      </c>
      <c r="Q67" s="5">
        <v>0.75</v>
      </c>
      <c r="R67" s="5">
        <v>0.75</v>
      </c>
      <c r="S67" s="5"/>
      <c r="T67" s="5"/>
      <c r="U67" s="5">
        <v>0.75</v>
      </c>
      <c r="V67" s="5">
        <v>0.75</v>
      </c>
      <c r="W67" s="5">
        <v>0.75</v>
      </c>
      <c r="X67" s="5">
        <v>0.75</v>
      </c>
      <c r="Y67" s="5">
        <v>0.75</v>
      </c>
      <c r="Z67" s="5"/>
      <c r="AA67" s="5"/>
      <c r="AB67" s="5">
        <v>0.75</v>
      </c>
      <c r="AC67" s="5">
        <v>0.75</v>
      </c>
      <c r="AD67" s="5">
        <v>0.75</v>
      </c>
      <c r="AE67" s="5">
        <v>0.75</v>
      </c>
      <c r="AF67" s="5">
        <v>0.75</v>
      </c>
      <c r="AG67" s="5">
        <v>0.75</v>
      </c>
      <c r="AH67" s="61"/>
      <c r="AI67" s="52"/>
    </row>
    <row r="68" spans="1:35" ht="16.5" thickBot="1">
      <c r="A68" s="82"/>
      <c r="B68" s="77"/>
      <c r="C68" s="8" t="s">
        <v>2</v>
      </c>
      <c r="D68" s="10"/>
      <c r="E68" s="38"/>
      <c r="F68" s="9"/>
      <c r="G68" s="9">
        <v>6.25E-2</v>
      </c>
      <c r="H68" s="9">
        <v>6.25E-2</v>
      </c>
      <c r="I68" s="9">
        <v>6.25E-2</v>
      </c>
      <c r="J68" s="9">
        <v>6.25E-2</v>
      </c>
      <c r="K68" s="9">
        <v>6.25E-2</v>
      </c>
      <c r="L68" s="9"/>
      <c r="M68" s="9"/>
      <c r="N68" s="9"/>
      <c r="O68" s="9">
        <v>6.25E-2</v>
      </c>
      <c r="P68" s="9">
        <v>6.25E-2</v>
      </c>
      <c r="Q68" s="9">
        <v>6.25E-2</v>
      </c>
      <c r="R68" s="9">
        <v>6.25E-2</v>
      </c>
      <c r="S68" s="9"/>
      <c r="T68" s="9"/>
      <c r="U68" s="9">
        <v>6.25E-2</v>
      </c>
      <c r="V68" s="9">
        <v>6.25E-2</v>
      </c>
      <c r="W68" s="9">
        <v>6.25E-2</v>
      </c>
      <c r="X68" s="9">
        <v>6.25E-2</v>
      </c>
      <c r="Y68" s="9">
        <v>6.25E-2</v>
      </c>
      <c r="Z68" s="9"/>
      <c r="AA68" s="9"/>
      <c r="AB68" s="9">
        <v>6.25E-2</v>
      </c>
      <c r="AC68" s="9">
        <v>6.25E-2</v>
      </c>
      <c r="AD68" s="9">
        <v>6.25E-2</v>
      </c>
      <c r="AE68" s="9">
        <v>6.25E-2</v>
      </c>
      <c r="AF68" s="9">
        <v>6.25E-2</v>
      </c>
      <c r="AG68" s="9">
        <v>6.25E-2</v>
      </c>
      <c r="AH68" s="62"/>
      <c r="AI68" s="53"/>
    </row>
    <row r="69" spans="1:35" ht="16.5" thickTop="1">
      <c r="A69" s="82"/>
      <c r="B69" s="75"/>
      <c r="C69" s="17" t="s">
        <v>12</v>
      </c>
      <c r="D69" s="18"/>
      <c r="E69" s="19">
        <f t="shared" ref="E69:O69" si="56">E67-E66-E68</f>
        <v>0</v>
      </c>
      <c r="F69" s="20">
        <f t="shared" si="56"/>
        <v>0</v>
      </c>
      <c r="G69" s="20">
        <f t="shared" si="56"/>
        <v>0.33333333333333331</v>
      </c>
      <c r="H69" s="20">
        <f t="shared" si="56"/>
        <v>0.33333333333333331</v>
      </c>
      <c r="I69" s="20">
        <f t="shared" si="56"/>
        <v>0.33333333333333331</v>
      </c>
      <c r="J69" s="20">
        <f t="shared" si="56"/>
        <v>0.33333333333333331</v>
      </c>
      <c r="K69" s="20">
        <f t="shared" si="56"/>
        <v>0.33333333333333331</v>
      </c>
      <c r="L69" s="20">
        <f t="shared" si="56"/>
        <v>0</v>
      </c>
      <c r="M69" s="20">
        <f t="shared" si="56"/>
        <v>0</v>
      </c>
      <c r="N69" s="20">
        <f t="shared" si="56"/>
        <v>0</v>
      </c>
      <c r="O69" s="20">
        <f t="shared" si="56"/>
        <v>0.33333333333333331</v>
      </c>
      <c r="P69" s="20">
        <f>P67-P66-P68</f>
        <v>0.33333333333333331</v>
      </c>
      <c r="Q69" s="20">
        <f t="shared" ref="Q69:R69" si="57">Q67-Q66-Q68</f>
        <v>0.33333333333333331</v>
      </c>
      <c r="R69" s="20">
        <f t="shared" si="57"/>
        <v>0.33333333333333331</v>
      </c>
      <c r="S69" s="20">
        <f t="shared" ref="S69:AH69" si="58">S67-S66-S68</f>
        <v>0</v>
      </c>
      <c r="T69" s="20">
        <f t="shared" si="58"/>
        <v>0</v>
      </c>
      <c r="U69" s="20">
        <f t="shared" si="58"/>
        <v>0.33333333333333331</v>
      </c>
      <c r="V69" s="20">
        <f t="shared" si="58"/>
        <v>0.33333333333333331</v>
      </c>
      <c r="W69" s="20">
        <f t="shared" si="58"/>
        <v>0.33333333333333331</v>
      </c>
      <c r="X69" s="20">
        <f t="shared" si="58"/>
        <v>0.33333333333333331</v>
      </c>
      <c r="Y69" s="20">
        <f t="shared" si="58"/>
        <v>0.33333333333333331</v>
      </c>
      <c r="Z69" s="20">
        <f t="shared" si="58"/>
        <v>0</v>
      </c>
      <c r="AA69" s="20">
        <f t="shared" si="58"/>
        <v>0</v>
      </c>
      <c r="AB69" s="20">
        <f t="shared" si="58"/>
        <v>0.33333333333333331</v>
      </c>
      <c r="AC69" s="20">
        <f t="shared" si="58"/>
        <v>0.33333333333333331</v>
      </c>
      <c r="AD69" s="20">
        <f t="shared" si="58"/>
        <v>0.33333333333333331</v>
      </c>
      <c r="AE69" s="20">
        <f t="shared" si="58"/>
        <v>0.33333333333333331</v>
      </c>
      <c r="AF69" s="20">
        <f t="shared" si="58"/>
        <v>0.33333333333333331</v>
      </c>
      <c r="AG69" s="20">
        <f t="shared" si="58"/>
        <v>0.33333333333333331</v>
      </c>
      <c r="AH69" s="63">
        <f t="shared" si="58"/>
        <v>0</v>
      </c>
      <c r="AI69" s="54">
        <f t="shared" ref="AI69:AI75" si="59">SUM(E69:AH69)</f>
        <v>6.6666666666666643</v>
      </c>
    </row>
    <row r="70" spans="1:35">
      <c r="A70" s="82"/>
      <c r="B70" s="75"/>
      <c r="C70" s="2" t="s">
        <v>4</v>
      </c>
      <c r="D70" s="3" t="s">
        <v>5</v>
      </c>
      <c r="E70" s="39"/>
      <c r="F70" s="7"/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/>
      <c r="M70" s="7"/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/>
      <c r="T70" s="7"/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/>
      <c r="AA70" s="7"/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64"/>
      <c r="AI70" s="55">
        <f t="shared" si="59"/>
        <v>0</v>
      </c>
    </row>
    <row r="71" spans="1:35">
      <c r="A71" s="82"/>
      <c r="B71" s="75"/>
      <c r="C71" s="6"/>
      <c r="D71" s="43" t="s">
        <v>6</v>
      </c>
      <c r="E71" s="71"/>
      <c r="F71" s="78"/>
      <c r="G71" s="78">
        <v>0.33333333333333331</v>
      </c>
      <c r="H71" s="78">
        <v>0.33333333333333331</v>
      </c>
      <c r="I71" s="78">
        <v>0.33333333333333331</v>
      </c>
      <c r="J71" s="78">
        <v>0.33333333333333331</v>
      </c>
      <c r="K71" s="78">
        <v>0.33333333333333331</v>
      </c>
      <c r="L71" s="78"/>
      <c r="M71" s="78"/>
      <c r="N71" s="78">
        <v>0</v>
      </c>
      <c r="O71" s="78">
        <v>0.33333333333333331</v>
      </c>
      <c r="P71" s="78">
        <v>0.33333333333333331</v>
      </c>
      <c r="Q71" s="78">
        <v>0.33333333333333331</v>
      </c>
      <c r="R71" s="78">
        <v>0.33333333333333331</v>
      </c>
      <c r="S71" s="78"/>
      <c r="T71" s="78"/>
      <c r="U71" s="78">
        <v>0.33333333333333331</v>
      </c>
      <c r="V71" s="78">
        <v>0.33333333333333331</v>
      </c>
      <c r="W71" s="78">
        <v>0.33333333333333331</v>
      </c>
      <c r="X71" s="78">
        <v>0.33333333333333331</v>
      </c>
      <c r="Y71" s="78">
        <v>0.33333333333333331</v>
      </c>
      <c r="Z71" s="78"/>
      <c r="AA71" s="78"/>
      <c r="AB71" s="78">
        <v>0.33333333333333331</v>
      </c>
      <c r="AC71" s="78">
        <v>0.33333333333333331</v>
      </c>
      <c r="AD71" s="78">
        <v>0.33333333333333331</v>
      </c>
      <c r="AE71" s="78">
        <v>0.33333333333333331</v>
      </c>
      <c r="AF71" s="78">
        <v>0.33333333333333331</v>
      </c>
      <c r="AG71" s="78">
        <v>0.33333333333333331</v>
      </c>
      <c r="AH71" s="79"/>
      <c r="AI71" s="80">
        <f t="shared" si="59"/>
        <v>6.6666666666666643</v>
      </c>
    </row>
    <row r="72" spans="1:35">
      <c r="A72" s="82"/>
      <c r="B72" s="75"/>
      <c r="C72" s="6"/>
      <c r="D72" s="3" t="s">
        <v>21</v>
      </c>
      <c r="E72" s="39"/>
      <c r="F72" s="7"/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/>
      <c r="M72" s="7"/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/>
      <c r="T72" s="7"/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/>
      <c r="AA72" s="7"/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64"/>
      <c r="AI72" s="55">
        <f t="shared" si="59"/>
        <v>0</v>
      </c>
    </row>
    <row r="73" spans="1:35">
      <c r="A73" s="82"/>
      <c r="B73" s="75"/>
      <c r="C73" s="6"/>
      <c r="D73" s="3" t="s">
        <v>30</v>
      </c>
      <c r="E73" s="39"/>
      <c r="F73" s="7"/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/>
      <c r="M73" s="7"/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/>
      <c r="T73" s="7"/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/>
      <c r="AA73" s="7"/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64"/>
      <c r="AI73" s="55">
        <f t="shared" si="59"/>
        <v>0</v>
      </c>
    </row>
    <row r="74" spans="1:35" ht="16.5" thickBot="1">
      <c r="A74" s="82"/>
      <c r="B74" s="75"/>
      <c r="C74" s="6"/>
      <c r="D74" s="3" t="s">
        <v>34</v>
      </c>
      <c r="E74" s="39"/>
      <c r="F74" s="7"/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/>
      <c r="M74" s="7"/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/>
      <c r="T74" s="7"/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/>
      <c r="AA74" s="7"/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64"/>
      <c r="AI74" s="55">
        <f t="shared" si="59"/>
        <v>0</v>
      </c>
    </row>
    <row r="75" spans="1:35" ht="17.25" thickTop="1" thickBot="1">
      <c r="A75" s="83"/>
      <c r="B75" s="76"/>
      <c r="C75" s="27" t="s">
        <v>7</v>
      </c>
      <c r="D75" s="28"/>
      <c r="E75" s="29">
        <f>SUM(E70:E74)</f>
        <v>0</v>
      </c>
      <c r="F75" s="30">
        <f>SUM(F70:F74)</f>
        <v>0</v>
      </c>
      <c r="G75" s="30">
        <f t="shared" ref="G75:AH75" si="60">SUM(G70:G74)</f>
        <v>0.33333333333333331</v>
      </c>
      <c r="H75" s="30">
        <f t="shared" si="60"/>
        <v>0.33333333333333331</v>
      </c>
      <c r="I75" s="30">
        <f t="shared" si="60"/>
        <v>0.33333333333333331</v>
      </c>
      <c r="J75" s="30">
        <f t="shared" si="60"/>
        <v>0.33333333333333331</v>
      </c>
      <c r="K75" s="30">
        <f t="shared" si="60"/>
        <v>0.33333333333333331</v>
      </c>
      <c r="L75" s="30">
        <f t="shared" si="60"/>
        <v>0</v>
      </c>
      <c r="M75" s="30">
        <f t="shared" si="60"/>
        <v>0</v>
      </c>
      <c r="N75" s="30">
        <f t="shared" si="60"/>
        <v>0</v>
      </c>
      <c r="O75" s="30">
        <f t="shared" si="60"/>
        <v>0.33333333333333331</v>
      </c>
      <c r="P75" s="30">
        <f t="shared" si="60"/>
        <v>0.33333333333333331</v>
      </c>
      <c r="Q75" s="30">
        <f t="shared" si="60"/>
        <v>0.33333333333333331</v>
      </c>
      <c r="R75" s="30">
        <f t="shared" si="60"/>
        <v>0.33333333333333331</v>
      </c>
      <c r="S75" s="30">
        <f t="shared" si="60"/>
        <v>0</v>
      </c>
      <c r="T75" s="30">
        <f t="shared" si="60"/>
        <v>0</v>
      </c>
      <c r="U75" s="30">
        <f t="shared" si="60"/>
        <v>0.33333333333333331</v>
      </c>
      <c r="V75" s="30">
        <f t="shared" si="60"/>
        <v>0.33333333333333331</v>
      </c>
      <c r="W75" s="30">
        <f t="shared" si="60"/>
        <v>0.33333333333333331</v>
      </c>
      <c r="X75" s="30">
        <f t="shared" si="60"/>
        <v>0.33333333333333331</v>
      </c>
      <c r="Y75" s="30">
        <f t="shared" si="60"/>
        <v>0.33333333333333331</v>
      </c>
      <c r="Z75" s="30">
        <f t="shared" si="60"/>
        <v>0</v>
      </c>
      <c r="AA75" s="30">
        <f t="shared" si="60"/>
        <v>0</v>
      </c>
      <c r="AB75" s="30">
        <f t="shared" si="60"/>
        <v>0.33333333333333331</v>
      </c>
      <c r="AC75" s="30">
        <f t="shared" si="60"/>
        <v>0.33333333333333331</v>
      </c>
      <c r="AD75" s="30">
        <f t="shared" si="60"/>
        <v>0.33333333333333331</v>
      </c>
      <c r="AE75" s="30">
        <f t="shared" si="60"/>
        <v>0.33333333333333331</v>
      </c>
      <c r="AF75" s="30">
        <f t="shared" si="60"/>
        <v>0.33333333333333331</v>
      </c>
      <c r="AG75" s="30">
        <f t="shared" si="60"/>
        <v>0.33333333333333331</v>
      </c>
      <c r="AH75" s="65">
        <f t="shared" si="60"/>
        <v>0</v>
      </c>
      <c r="AI75" s="58">
        <f t="shared" si="59"/>
        <v>6.6666666666666643</v>
      </c>
    </row>
    <row r="76" spans="1:35" ht="16.5" thickTop="1">
      <c r="A76" s="81">
        <v>8</v>
      </c>
      <c r="B76" s="74" t="s">
        <v>38</v>
      </c>
      <c r="C76" s="23" t="s">
        <v>0</v>
      </c>
      <c r="D76" s="24"/>
      <c r="E76" s="36"/>
      <c r="F76" s="25"/>
      <c r="G76" s="25">
        <v>0.35416666666666669</v>
      </c>
      <c r="H76" s="25">
        <v>0.35416666666666669</v>
      </c>
      <c r="I76" s="25">
        <v>0.35416666666666669</v>
      </c>
      <c r="J76" s="25">
        <v>0.35416666666666669</v>
      </c>
      <c r="K76" s="25">
        <v>0.35416666666666669</v>
      </c>
      <c r="L76" s="25"/>
      <c r="M76" s="25"/>
      <c r="N76" s="25">
        <v>0.35416666666666669</v>
      </c>
      <c r="O76" s="25">
        <v>0.35416666666666669</v>
      </c>
      <c r="P76" s="25">
        <v>0.35416666666666669</v>
      </c>
      <c r="Q76" s="25">
        <v>0.35416666666666669</v>
      </c>
      <c r="R76" s="25"/>
      <c r="S76" s="25"/>
      <c r="T76" s="25"/>
      <c r="U76" s="25">
        <v>0.35416666666666669</v>
      </c>
      <c r="V76" s="25">
        <v>0.35416666666666669</v>
      </c>
      <c r="W76" s="25">
        <v>0.39583333333333331</v>
      </c>
      <c r="X76" s="25">
        <v>0.35416666666666669</v>
      </c>
      <c r="Y76" s="25">
        <v>0.35416666666666669</v>
      </c>
      <c r="Z76" s="25"/>
      <c r="AA76" s="25"/>
      <c r="AB76" s="25">
        <v>0.35416666666666669</v>
      </c>
      <c r="AC76" s="25">
        <v>0.35416666666666669</v>
      </c>
      <c r="AD76" s="25">
        <v>0.35416666666666669</v>
      </c>
      <c r="AE76" s="25">
        <v>0.35416666666666669</v>
      </c>
      <c r="AF76" s="25">
        <v>0.35416666666666669</v>
      </c>
      <c r="AG76" s="25">
        <v>0.35416666666666669</v>
      </c>
      <c r="AH76" s="66"/>
      <c r="AI76" s="57"/>
    </row>
    <row r="77" spans="1:35">
      <c r="A77" s="82"/>
      <c r="B77" s="77" t="s">
        <v>37</v>
      </c>
      <c r="C77" s="3" t="s">
        <v>1</v>
      </c>
      <c r="D77" s="4"/>
      <c r="E77" s="37"/>
      <c r="F77" s="5"/>
      <c r="G77" s="5">
        <v>0.75</v>
      </c>
      <c r="H77" s="5">
        <v>0.75</v>
      </c>
      <c r="I77" s="5">
        <v>0.75</v>
      </c>
      <c r="J77" s="5">
        <v>0.75</v>
      </c>
      <c r="K77" s="5">
        <v>0.75</v>
      </c>
      <c r="L77" s="5"/>
      <c r="M77" s="5"/>
      <c r="N77" s="5">
        <v>0.75</v>
      </c>
      <c r="O77" s="5">
        <v>0.75</v>
      </c>
      <c r="P77" s="5">
        <v>0.75</v>
      </c>
      <c r="Q77" s="5">
        <v>0.75</v>
      </c>
      <c r="R77" s="5"/>
      <c r="S77" s="5"/>
      <c r="T77" s="5"/>
      <c r="U77" s="5">
        <v>0.75</v>
      </c>
      <c r="V77" s="5">
        <v>0.75</v>
      </c>
      <c r="W77" s="5">
        <v>0.75</v>
      </c>
      <c r="X77" s="5">
        <v>0.75</v>
      </c>
      <c r="Y77" s="5">
        <v>0.75</v>
      </c>
      <c r="Z77" s="5"/>
      <c r="AA77" s="5"/>
      <c r="AB77" s="5">
        <v>0.75</v>
      </c>
      <c r="AC77" s="5">
        <v>0.75</v>
      </c>
      <c r="AD77" s="5">
        <v>0.75</v>
      </c>
      <c r="AE77" s="5">
        <v>0.75</v>
      </c>
      <c r="AF77" s="5">
        <v>0.75</v>
      </c>
      <c r="AG77" s="5">
        <v>0.75</v>
      </c>
      <c r="AH77" s="61"/>
      <c r="AI77" s="52"/>
    </row>
    <row r="78" spans="1:35" ht="16.5" thickBot="1">
      <c r="A78" s="82"/>
      <c r="B78" s="77"/>
      <c r="C78" s="8" t="s">
        <v>2</v>
      </c>
      <c r="D78" s="10"/>
      <c r="E78" s="38"/>
      <c r="F78" s="9"/>
      <c r="G78" s="9">
        <v>6.25E-2</v>
      </c>
      <c r="H78" s="9">
        <v>6.25E-2</v>
      </c>
      <c r="I78" s="9">
        <v>6.25E-2</v>
      </c>
      <c r="J78" s="9">
        <v>6.25E-2</v>
      </c>
      <c r="K78" s="9">
        <v>6.25E-2</v>
      </c>
      <c r="L78" s="9"/>
      <c r="M78" s="9"/>
      <c r="N78" s="9">
        <v>6.25E-2</v>
      </c>
      <c r="O78" s="9">
        <v>6.25E-2</v>
      </c>
      <c r="P78" s="9">
        <v>6.25E-2</v>
      </c>
      <c r="Q78" s="9">
        <v>6.25E-2</v>
      </c>
      <c r="R78" s="9"/>
      <c r="S78" s="9"/>
      <c r="T78" s="9"/>
      <c r="U78" s="9">
        <v>6.25E-2</v>
      </c>
      <c r="V78" s="9">
        <v>6.25E-2</v>
      </c>
      <c r="W78" s="9">
        <v>6.25E-2</v>
      </c>
      <c r="X78" s="9">
        <v>6.25E-2</v>
      </c>
      <c r="Y78" s="9">
        <v>6.25E-2</v>
      </c>
      <c r="Z78" s="9"/>
      <c r="AA78" s="9"/>
      <c r="AB78" s="9">
        <v>6.25E-2</v>
      </c>
      <c r="AC78" s="9">
        <v>6.25E-2</v>
      </c>
      <c r="AD78" s="9">
        <v>6.25E-2</v>
      </c>
      <c r="AE78" s="9">
        <v>6.25E-2</v>
      </c>
      <c r="AF78" s="9">
        <v>6.25E-2</v>
      </c>
      <c r="AG78" s="9">
        <v>6.25E-2</v>
      </c>
      <c r="AH78" s="62"/>
      <c r="AI78" s="53"/>
    </row>
    <row r="79" spans="1:35" ht="16.5" thickTop="1">
      <c r="A79" s="82"/>
      <c r="B79" s="75"/>
      <c r="C79" s="17" t="s">
        <v>12</v>
      </c>
      <c r="D79" s="18"/>
      <c r="E79" s="19">
        <f t="shared" ref="E79:O79" si="61">E77-E76-E78</f>
        <v>0</v>
      </c>
      <c r="F79" s="20">
        <f t="shared" si="61"/>
        <v>0</v>
      </c>
      <c r="G79" s="20">
        <f t="shared" si="61"/>
        <v>0.33333333333333331</v>
      </c>
      <c r="H79" s="20">
        <f t="shared" si="61"/>
        <v>0.33333333333333331</v>
      </c>
      <c r="I79" s="20">
        <f t="shared" si="61"/>
        <v>0.33333333333333331</v>
      </c>
      <c r="J79" s="20">
        <f t="shared" si="61"/>
        <v>0.33333333333333331</v>
      </c>
      <c r="K79" s="20">
        <f t="shared" si="61"/>
        <v>0.33333333333333331</v>
      </c>
      <c r="L79" s="20">
        <f t="shared" si="61"/>
        <v>0</v>
      </c>
      <c r="M79" s="20">
        <f t="shared" si="61"/>
        <v>0</v>
      </c>
      <c r="N79" s="20">
        <f t="shared" si="61"/>
        <v>0.33333333333333331</v>
      </c>
      <c r="O79" s="20">
        <f t="shared" si="61"/>
        <v>0.33333333333333331</v>
      </c>
      <c r="P79" s="20">
        <f>P77-P76-P78</f>
        <v>0.33333333333333331</v>
      </c>
      <c r="Q79" s="20">
        <f t="shared" ref="Q79:R79" si="62">Q77-Q76-Q78</f>
        <v>0.33333333333333331</v>
      </c>
      <c r="R79" s="20">
        <f t="shared" si="62"/>
        <v>0</v>
      </c>
      <c r="S79" s="20">
        <f t="shared" ref="S79:AH79" si="63">S77-S76-S78</f>
        <v>0</v>
      </c>
      <c r="T79" s="20">
        <f t="shared" si="63"/>
        <v>0</v>
      </c>
      <c r="U79" s="20">
        <f t="shared" si="63"/>
        <v>0.33333333333333331</v>
      </c>
      <c r="V79" s="20">
        <f t="shared" si="63"/>
        <v>0.33333333333333331</v>
      </c>
      <c r="W79" s="20">
        <f t="shared" si="63"/>
        <v>0.29166666666666669</v>
      </c>
      <c r="X79" s="20">
        <f t="shared" si="63"/>
        <v>0.33333333333333331</v>
      </c>
      <c r="Y79" s="20">
        <f t="shared" si="63"/>
        <v>0.33333333333333331</v>
      </c>
      <c r="Z79" s="20">
        <f t="shared" si="63"/>
        <v>0</v>
      </c>
      <c r="AA79" s="20">
        <f t="shared" si="63"/>
        <v>0</v>
      </c>
      <c r="AB79" s="20">
        <f t="shared" si="63"/>
        <v>0.33333333333333331</v>
      </c>
      <c r="AC79" s="20">
        <f t="shared" si="63"/>
        <v>0.33333333333333331</v>
      </c>
      <c r="AD79" s="20">
        <f t="shared" si="63"/>
        <v>0.33333333333333331</v>
      </c>
      <c r="AE79" s="20">
        <f t="shared" si="63"/>
        <v>0.33333333333333331</v>
      </c>
      <c r="AF79" s="20">
        <f t="shared" si="63"/>
        <v>0.33333333333333331</v>
      </c>
      <c r="AG79" s="20">
        <f t="shared" si="63"/>
        <v>0.33333333333333331</v>
      </c>
      <c r="AH79" s="63">
        <f t="shared" si="63"/>
        <v>0</v>
      </c>
      <c r="AI79" s="54">
        <f t="shared" ref="AI79:AI84" si="64">SUM(E79:AH79)</f>
        <v>6.6249999999999982</v>
      </c>
    </row>
    <row r="80" spans="1:35">
      <c r="A80" s="82"/>
      <c r="B80" s="75"/>
      <c r="C80" s="2" t="s">
        <v>4</v>
      </c>
      <c r="D80" s="3" t="s">
        <v>5</v>
      </c>
      <c r="E80" s="39"/>
      <c r="F80" s="7"/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/>
      <c r="M80" s="7"/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/>
      <c r="T80" s="7"/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/>
      <c r="AA80" s="7"/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64"/>
      <c r="AI80" s="55">
        <f t="shared" si="64"/>
        <v>0</v>
      </c>
    </row>
    <row r="81" spans="1:35">
      <c r="A81" s="82"/>
      <c r="B81" s="75"/>
      <c r="C81" s="6"/>
      <c r="D81" s="43" t="s">
        <v>6</v>
      </c>
      <c r="E81" s="71"/>
      <c r="F81" s="78"/>
      <c r="G81" s="78">
        <v>0.33333333333333331</v>
      </c>
      <c r="H81" s="78">
        <v>0.33333333333333331</v>
      </c>
      <c r="I81" s="78">
        <v>0.33333333333333331</v>
      </c>
      <c r="J81" s="78">
        <v>0.33333333333333331</v>
      </c>
      <c r="K81" s="78">
        <v>0.33333333333333331</v>
      </c>
      <c r="L81" s="78"/>
      <c r="M81" s="78"/>
      <c r="N81" s="78">
        <v>0.33333333333333331</v>
      </c>
      <c r="O81" s="78">
        <v>0.33333333333333331</v>
      </c>
      <c r="P81" s="78">
        <v>0.33333333333333331</v>
      </c>
      <c r="Q81" s="78">
        <v>0.33333333333333331</v>
      </c>
      <c r="R81" s="78">
        <v>0</v>
      </c>
      <c r="S81" s="78"/>
      <c r="T81" s="78"/>
      <c r="U81" s="78">
        <v>0.33333333333333331</v>
      </c>
      <c r="V81" s="78">
        <v>0.33333333333333331</v>
      </c>
      <c r="W81" s="78">
        <v>0.29166666666666669</v>
      </c>
      <c r="X81" s="78">
        <v>0.33333333333333331</v>
      </c>
      <c r="Y81" s="78">
        <v>0.33333333333333331</v>
      </c>
      <c r="Z81" s="78"/>
      <c r="AA81" s="78"/>
      <c r="AB81" s="78">
        <v>0.33333333333333331</v>
      </c>
      <c r="AC81" s="78">
        <v>0.33333333333333331</v>
      </c>
      <c r="AD81" s="78">
        <v>0.33333333333333331</v>
      </c>
      <c r="AE81" s="78">
        <v>0.33333333333333331</v>
      </c>
      <c r="AF81" s="78">
        <v>0.33333333333333331</v>
      </c>
      <c r="AG81" s="78">
        <v>0.33333333333333331</v>
      </c>
      <c r="AH81" s="79"/>
      <c r="AI81" s="80">
        <f>SUM(E81:AH81)</f>
        <v>6.6249999999999982</v>
      </c>
    </row>
    <row r="82" spans="1:35">
      <c r="A82" s="82"/>
      <c r="B82" s="75"/>
      <c r="C82" s="6"/>
      <c r="D82" s="3" t="s">
        <v>21</v>
      </c>
      <c r="E82" s="39"/>
      <c r="F82" s="7"/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/>
      <c r="M82" s="7"/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/>
      <c r="T82" s="7"/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/>
      <c r="AA82" s="7"/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64"/>
      <c r="AI82" s="55">
        <f t="shared" si="64"/>
        <v>0</v>
      </c>
    </row>
    <row r="83" spans="1:35">
      <c r="A83" s="82"/>
      <c r="B83" s="75"/>
      <c r="C83" s="6"/>
      <c r="D83" s="3" t="s">
        <v>30</v>
      </c>
      <c r="E83" s="39"/>
      <c r="F83" s="7"/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/>
      <c r="M83" s="7"/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/>
      <c r="T83" s="7"/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/>
      <c r="AA83" s="7"/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64"/>
      <c r="AI83" s="55">
        <f t="shared" si="64"/>
        <v>0</v>
      </c>
    </row>
    <row r="84" spans="1:35" ht="16.5" thickBot="1">
      <c r="A84" s="82"/>
      <c r="B84" s="75"/>
      <c r="C84" s="6"/>
      <c r="D84" s="3" t="s">
        <v>34</v>
      </c>
      <c r="E84" s="39"/>
      <c r="F84" s="7"/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/>
      <c r="M84" s="7"/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/>
      <c r="T84" s="7"/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/>
      <c r="AA84" s="7"/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64"/>
      <c r="AI84" s="55">
        <f t="shared" si="64"/>
        <v>0</v>
      </c>
    </row>
    <row r="85" spans="1:35" ht="17.25" thickTop="1" thickBot="1">
      <c r="A85" s="83"/>
      <c r="B85" s="76"/>
      <c r="C85" s="27" t="s">
        <v>7</v>
      </c>
      <c r="D85" s="28"/>
      <c r="E85" s="29">
        <f>SUM(E80:E84)</f>
        <v>0</v>
      </c>
      <c r="F85" s="30">
        <f>SUM(F80:F84)</f>
        <v>0</v>
      </c>
      <c r="G85" s="30">
        <f t="shared" ref="G85:AH85" si="65">SUM(G80:G84)</f>
        <v>0.33333333333333331</v>
      </c>
      <c r="H85" s="30">
        <f t="shared" si="65"/>
        <v>0.33333333333333331</v>
      </c>
      <c r="I85" s="30">
        <f t="shared" si="65"/>
        <v>0.33333333333333331</v>
      </c>
      <c r="J85" s="30">
        <f t="shared" si="65"/>
        <v>0.33333333333333331</v>
      </c>
      <c r="K85" s="30">
        <f t="shared" si="65"/>
        <v>0.33333333333333331</v>
      </c>
      <c r="L85" s="30">
        <f t="shared" si="65"/>
        <v>0</v>
      </c>
      <c r="M85" s="30">
        <f t="shared" si="65"/>
        <v>0</v>
      </c>
      <c r="N85" s="30">
        <f t="shared" si="65"/>
        <v>0.33333333333333331</v>
      </c>
      <c r="O85" s="30">
        <f t="shared" si="65"/>
        <v>0.33333333333333331</v>
      </c>
      <c r="P85" s="30">
        <f t="shared" si="65"/>
        <v>0.33333333333333331</v>
      </c>
      <c r="Q85" s="30">
        <f t="shared" si="65"/>
        <v>0.33333333333333331</v>
      </c>
      <c r="R85" s="30">
        <f t="shared" si="65"/>
        <v>0</v>
      </c>
      <c r="S85" s="30">
        <f t="shared" si="65"/>
        <v>0</v>
      </c>
      <c r="T85" s="30">
        <f t="shared" si="65"/>
        <v>0</v>
      </c>
      <c r="U85" s="30">
        <f t="shared" si="65"/>
        <v>0.33333333333333331</v>
      </c>
      <c r="V85" s="30">
        <f t="shared" si="65"/>
        <v>0.33333333333333331</v>
      </c>
      <c r="W85" s="30">
        <f t="shared" si="65"/>
        <v>0.29166666666666669</v>
      </c>
      <c r="X85" s="30">
        <f t="shared" si="65"/>
        <v>0.33333333333333331</v>
      </c>
      <c r="Y85" s="30">
        <f t="shared" si="65"/>
        <v>0.33333333333333331</v>
      </c>
      <c r="Z85" s="30">
        <f t="shared" si="65"/>
        <v>0</v>
      </c>
      <c r="AA85" s="30">
        <f t="shared" si="65"/>
        <v>0</v>
      </c>
      <c r="AB85" s="30">
        <f t="shared" si="65"/>
        <v>0.33333333333333331</v>
      </c>
      <c r="AC85" s="30">
        <f t="shared" si="65"/>
        <v>0.33333333333333331</v>
      </c>
      <c r="AD85" s="30">
        <f t="shared" si="65"/>
        <v>0.33333333333333331</v>
      </c>
      <c r="AE85" s="30">
        <f t="shared" si="65"/>
        <v>0.33333333333333331</v>
      </c>
      <c r="AF85" s="30">
        <f t="shared" si="65"/>
        <v>0.33333333333333331</v>
      </c>
      <c r="AG85" s="30">
        <f t="shared" si="65"/>
        <v>0.33333333333333331</v>
      </c>
      <c r="AH85" s="65">
        <f t="shared" si="65"/>
        <v>0</v>
      </c>
      <c r="AI85" s="58">
        <f>SUM(E85:AH85)</f>
        <v>6.6249999999999982</v>
      </c>
    </row>
    <row r="86" spans="1:35" ht="16.5" thickTop="1">
      <c r="A86" s="81">
        <v>9</v>
      </c>
      <c r="B86" s="74" t="s">
        <v>39</v>
      </c>
      <c r="C86" s="23" t="s">
        <v>0</v>
      </c>
      <c r="D86" s="24"/>
      <c r="E86" s="36"/>
      <c r="F86" s="25"/>
      <c r="G86" s="25">
        <v>0.35416666666666669</v>
      </c>
      <c r="H86" s="25">
        <v>0.35416666666666669</v>
      </c>
      <c r="I86" s="25">
        <v>0.35416666666666669</v>
      </c>
      <c r="J86" s="25">
        <v>0.35416666666666669</v>
      </c>
      <c r="K86" s="25">
        <v>0.35416666666666669</v>
      </c>
      <c r="L86" s="25"/>
      <c r="M86" s="25"/>
      <c r="N86" s="25">
        <v>0.35416666666666669</v>
      </c>
      <c r="O86" s="25">
        <v>0.35416666666666669</v>
      </c>
      <c r="P86" s="25">
        <v>0.35416666666666669</v>
      </c>
      <c r="Q86" s="25">
        <v>0.35416666666666669</v>
      </c>
      <c r="R86" s="25">
        <v>0.35416666666666669</v>
      </c>
      <c r="S86" s="25"/>
      <c r="T86" s="25"/>
      <c r="U86" s="25">
        <v>0.35416666666666669</v>
      </c>
      <c r="V86" s="25">
        <v>0.35416666666666669</v>
      </c>
      <c r="W86" s="25"/>
      <c r="X86" s="25">
        <v>0.35416666666666669</v>
      </c>
      <c r="Y86" s="25">
        <v>0.35416666666666669</v>
      </c>
      <c r="Z86" s="25"/>
      <c r="AA86" s="25"/>
      <c r="AB86" s="25">
        <v>0.35416666666666669</v>
      </c>
      <c r="AC86" s="25">
        <v>0.35416666666666669</v>
      </c>
      <c r="AD86" s="25">
        <v>0.35416666666666669</v>
      </c>
      <c r="AE86" s="25">
        <v>0.35416666666666669</v>
      </c>
      <c r="AF86" s="25">
        <v>0.35416666666666669</v>
      </c>
      <c r="AG86" s="25">
        <v>0.35416666666666669</v>
      </c>
      <c r="AH86" s="66"/>
      <c r="AI86" s="57"/>
    </row>
    <row r="87" spans="1:35">
      <c r="A87" s="82"/>
      <c r="B87" s="75" t="s">
        <v>37</v>
      </c>
      <c r="C87" s="3" t="s">
        <v>1</v>
      </c>
      <c r="D87" s="4"/>
      <c r="E87" s="37"/>
      <c r="F87" s="5"/>
      <c r="G87" s="5">
        <v>0.75</v>
      </c>
      <c r="H87" s="5">
        <v>0.75</v>
      </c>
      <c r="I87" s="5">
        <v>0.75</v>
      </c>
      <c r="J87" s="5">
        <v>0.75</v>
      </c>
      <c r="K87" s="5">
        <v>0.75</v>
      </c>
      <c r="L87" s="5"/>
      <c r="M87" s="5"/>
      <c r="N87" s="5">
        <v>0.75</v>
      </c>
      <c r="O87" s="5">
        <v>0.75</v>
      </c>
      <c r="P87" s="5">
        <v>0.75</v>
      </c>
      <c r="Q87" s="5">
        <v>0.75</v>
      </c>
      <c r="R87" s="5">
        <v>0.75</v>
      </c>
      <c r="S87" s="5"/>
      <c r="T87" s="5"/>
      <c r="U87" s="5">
        <v>0.75</v>
      </c>
      <c r="V87" s="5">
        <v>0.75</v>
      </c>
      <c r="W87" s="5"/>
      <c r="X87" s="5">
        <v>0.75</v>
      </c>
      <c r="Y87" s="5">
        <v>0.75</v>
      </c>
      <c r="Z87" s="5"/>
      <c r="AA87" s="5"/>
      <c r="AB87" s="5">
        <v>0.75</v>
      </c>
      <c r="AC87" s="5">
        <v>0.75</v>
      </c>
      <c r="AD87" s="5">
        <v>0.75</v>
      </c>
      <c r="AE87" s="5">
        <v>0.75</v>
      </c>
      <c r="AF87" s="5">
        <v>0.75</v>
      </c>
      <c r="AG87" s="5">
        <v>0.75</v>
      </c>
      <c r="AH87" s="61"/>
      <c r="AI87" s="52"/>
    </row>
    <row r="88" spans="1:35" ht="16.5" thickBot="1">
      <c r="A88" s="82"/>
      <c r="B88" s="77"/>
      <c r="C88" s="8" t="s">
        <v>2</v>
      </c>
      <c r="D88" s="10"/>
      <c r="E88" s="38"/>
      <c r="F88" s="9"/>
      <c r="G88" s="9">
        <v>6.25E-2</v>
      </c>
      <c r="H88" s="9">
        <v>6.25E-2</v>
      </c>
      <c r="I88" s="9">
        <v>6.25E-2</v>
      </c>
      <c r="J88" s="9">
        <v>6.25E-2</v>
      </c>
      <c r="K88" s="9">
        <v>6.25E-2</v>
      </c>
      <c r="L88" s="9"/>
      <c r="M88" s="9"/>
      <c r="N88" s="9">
        <v>6.25E-2</v>
      </c>
      <c r="O88" s="9">
        <v>6.25E-2</v>
      </c>
      <c r="P88" s="9">
        <v>6.25E-2</v>
      </c>
      <c r="Q88" s="9">
        <v>6.25E-2</v>
      </c>
      <c r="R88" s="9">
        <v>6.25E-2</v>
      </c>
      <c r="S88" s="9"/>
      <c r="T88" s="9"/>
      <c r="U88" s="9">
        <v>6.25E-2</v>
      </c>
      <c r="V88" s="9">
        <v>6.25E-2</v>
      </c>
      <c r="W88" s="9"/>
      <c r="X88" s="9">
        <v>6.25E-2</v>
      </c>
      <c r="Y88" s="9">
        <v>6.25E-2</v>
      </c>
      <c r="Z88" s="9"/>
      <c r="AA88" s="9"/>
      <c r="AB88" s="9">
        <v>6.25E-2</v>
      </c>
      <c r="AC88" s="9">
        <v>6.25E-2</v>
      </c>
      <c r="AD88" s="9">
        <v>6.25E-2</v>
      </c>
      <c r="AE88" s="9">
        <v>6.25E-2</v>
      </c>
      <c r="AF88" s="9">
        <v>6.25E-2</v>
      </c>
      <c r="AG88" s="9">
        <v>6.25E-2</v>
      </c>
      <c r="AH88" s="62"/>
      <c r="AI88" s="53"/>
    </row>
    <row r="89" spans="1:35" ht="16.5" thickTop="1">
      <c r="A89" s="82"/>
      <c r="B89" s="75"/>
      <c r="C89" s="17" t="s">
        <v>12</v>
      </c>
      <c r="D89" s="18"/>
      <c r="E89" s="19">
        <f t="shared" ref="E89:O89" si="66">E87-E86-E88</f>
        <v>0</v>
      </c>
      <c r="F89" s="20">
        <f t="shared" si="66"/>
        <v>0</v>
      </c>
      <c r="G89" s="20">
        <f t="shared" si="66"/>
        <v>0.33333333333333331</v>
      </c>
      <c r="H89" s="20">
        <f t="shared" si="66"/>
        <v>0.33333333333333331</v>
      </c>
      <c r="I89" s="20">
        <f t="shared" si="66"/>
        <v>0.33333333333333331</v>
      </c>
      <c r="J89" s="20">
        <f t="shared" si="66"/>
        <v>0.33333333333333331</v>
      </c>
      <c r="K89" s="20">
        <f t="shared" si="66"/>
        <v>0.33333333333333331</v>
      </c>
      <c r="L89" s="20">
        <f t="shared" si="66"/>
        <v>0</v>
      </c>
      <c r="M89" s="20">
        <f t="shared" si="66"/>
        <v>0</v>
      </c>
      <c r="N89" s="20">
        <f t="shared" si="66"/>
        <v>0.33333333333333331</v>
      </c>
      <c r="O89" s="20">
        <f t="shared" si="66"/>
        <v>0.33333333333333331</v>
      </c>
      <c r="P89" s="20">
        <f>P87-P86-P88</f>
        <v>0.33333333333333331</v>
      </c>
      <c r="Q89" s="20">
        <f t="shared" ref="Q89:R89" si="67">Q87-Q86-Q88</f>
        <v>0.33333333333333331</v>
      </c>
      <c r="R89" s="20">
        <f t="shared" si="67"/>
        <v>0.33333333333333331</v>
      </c>
      <c r="S89" s="20">
        <f t="shared" ref="S89:AH89" si="68">S87-S86-S88</f>
        <v>0</v>
      </c>
      <c r="T89" s="20">
        <f t="shared" si="68"/>
        <v>0</v>
      </c>
      <c r="U89" s="20">
        <f t="shared" si="68"/>
        <v>0.33333333333333331</v>
      </c>
      <c r="V89" s="20">
        <f t="shared" si="68"/>
        <v>0.33333333333333331</v>
      </c>
      <c r="W89" s="20">
        <f t="shared" si="68"/>
        <v>0</v>
      </c>
      <c r="X89" s="20">
        <f t="shared" si="68"/>
        <v>0.33333333333333331</v>
      </c>
      <c r="Y89" s="20">
        <f t="shared" si="68"/>
        <v>0.33333333333333331</v>
      </c>
      <c r="Z89" s="20">
        <f t="shared" si="68"/>
        <v>0</v>
      </c>
      <c r="AA89" s="20">
        <f t="shared" si="68"/>
        <v>0</v>
      </c>
      <c r="AB89" s="20">
        <f t="shared" si="68"/>
        <v>0.33333333333333331</v>
      </c>
      <c r="AC89" s="20">
        <f t="shared" si="68"/>
        <v>0.33333333333333331</v>
      </c>
      <c r="AD89" s="20">
        <f t="shared" si="68"/>
        <v>0.33333333333333331</v>
      </c>
      <c r="AE89" s="20">
        <f t="shared" si="68"/>
        <v>0.33333333333333331</v>
      </c>
      <c r="AF89" s="20">
        <f t="shared" si="68"/>
        <v>0.33333333333333331</v>
      </c>
      <c r="AG89" s="20">
        <f t="shared" si="68"/>
        <v>0.33333333333333331</v>
      </c>
      <c r="AH89" s="63">
        <f t="shared" si="68"/>
        <v>0</v>
      </c>
      <c r="AI89" s="54">
        <f t="shared" ref="AI89:AI95" si="69">SUM(E89:AH89)</f>
        <v>6.6666666666666643</v>
      </c>
    </row>
    <row r="90" spans="1:35">
      <c r="A90" s="82"/>
      <c r="B90" s="75"/>
      <c r="C90" s="2" t="s">
        <v>4</v>
      </c>
      <c r="D90" s="3" t="s">
        <v>5</v>
      </c>
      <c r="E90" s="39"/>
      <c r="F90" s="7"/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/>
      <c r="M90" s="7"/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/>
      <c r="T90" s="7"/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/>
      <c r="AA90" s="7"/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64"/>
      <c r="AI90" s="55">
        <f t="shared" si="69"/>
        <v>0</v>
      </c>
    </row>
    <row r="91" spans="1:35">
      <c r="A91" s="82"/>
      <c r="B91" s="75"/>
      <c r="C91" s="6"/>
      <c r="D91" s="43" t="s">
        <v>6</v>
      </c>
      <c r="E91" s="71"/>
      <c r="F91" s="78"/>
      <c r="G91" s="78">
        <v>0.33333333333333331</v>
      </c>
      <c r="H91" s="78">
        <v>0.33333333333333331</v>
      </c>
      <c r="I91" s="78">
        <v>0.33333333333333331</v>
      </c>
      <c r="J91" s="78">
        <v>0.33333333333333331</v>
      </c>
      <c r="K91" s="78">
        <v>0.33333333333333331</v>
      </c>
      <c r="L91" s="78"/>
      <c r="M91" s="78"/>
      <c r="N91" s="78">
        <v>0.33333333333333331</v>
      </c>
      <c r="O91" s="78">
        <v>0.33333333333333331</v>
      </c>
      <c r="P91" s="78">
        <v>0.33333333333333331</v>
      </c>
      <c r="Q91" s="78">
        <v>0.33333333333333331</v>
      </c>
      <c r="R91" s="78">
        <v>0.33333333333333331</v>
      </c>
      <c r="S91" s="78"/>
      <c r="T91" s="78"/>
      <c r="U91" s="78">
        <v>0.33333333333333331</v>
      </c>
      <c r="V91" s="78">
        <v>0.33333333333333331</v>
      </c>
      <c r="W91" s="78">
        <v>0</v>
      </c>
      <c r="X91" s="78">
        <v>0.33333333333333331</v>
      </c>
      <c r="Y91" s="78">
        <v>0.33333333333333331</v>
      </c>
      <c r="Z91" s="78"/>
      <c r="AA91" s="78"/>
      <c r="AB91" s="78">
        <v>0.33333333333333331</v>
      </c>
      <c r="AC91" s="78">
        <v>0.33333333333333331</v>
      </c>
      <c r="AD91" s="78">
        <v>0.33333333333333331</v>
      </c>
      <c r="AE91" s="78">
        <v>0.33333333333333331</v>
      </c>
      <c r="AF91" s="78">
        <v>0.33333333333333331</v>
      </c>
      <c r="AG91" s="78">
        <v>0.33333333333333331</v>
      </c>
      <c r="AH91" s="79"/>
      <c r="AI91" s="80">
        <f t="shared" si="69"/>
        <v>6.6666666666666643</v>
      </c>
    </row>
    <row r="92" spans="1:35">
      <c r="A92" s="82"/>
      <c r="B92" s="75"/>
      <c r="C92" s="6"/>
      <c r="D92" s="3" t="s">
        <v>21</v>
      </c>
      <c r="E92" s="39"/>
      <c r="F92" s="7"/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/>
      <c r="M92" s="7"/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/>
      <c r="T92" s="7"/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/>
      <c r="AA92" s="7"/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64"/>
      <c r="AI92" s="55">
        <f t="shared" si="69"/>
        <v>0</v>
      </c>
    </row>
    <row r="93" spans="1:35">
      <c r="A93" s="82"/>
      <c r="B93" s="75"/>
      <c r="C93" s="6"/>
      <c r="D93" s="3" t="s">
        <v>30</v>
      </c>
      <c r="E93" s="39"/>
      <c r="F93" s="7"/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/>
      <c r="M93" s="7"/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/>
      <c r="T93" s="7"/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/>
      <c r="AA93" s="7"/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64"/>
      <c r="AI93" s="55">
        <f t="shared" si="69"/>
        <v>0</v>
      </c>
    </row>
    <row r="94" spans="1:35" ht="16.5" thickBot="1">
      <c r="A94" s="82"/>
      <c r="B94" s="75"/>
      <c r="C94" s="6"/>
      <c r="D94" s="3" t="s">
        <v>34</v>
      </c>
      <c r="E94" s="39"/>
      <c r="F94" s="7"/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/>
      <c r="M94" s="7"/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/>
      <c r="T94" s="7"/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/>
      <c r="AA94" s="7"/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64"/>
      <c r="AI94" s="55">
        <f t="shared" si="69"/>
        <v>0</v>
      </c>
    </row>
    <row r="95" spans="1:35" ht="17.25" thickTop="1" thickBot="1">
      <c r="A95" s="83"/>
      <c r="B95" s="76"/>
      <c r="C95" s="27" t="s">
        <v>7</v>
      </c>
      <c r="D95" s="28"/>
      <c r="E95" s="29">
        <f>SUM(E90:E94)</f>
        <v>0</v>
      </c>
      <c r="F95" s="30">
        <f>SUM(F90:F94)</f>
        <v>0</v>
      </c>
      <c r="G95" s="30">
        <f t="shared" ref="G95:AH95" si="70">SUM(G90:G94)</f>
        <v>0.33333333333333331</v>
      </c>
      <c r="H95" s="30">
        <f t="shared" si="70"/>
        <v>0.33333333333333331</v>
      </c>
      <c r="I95" s="30">
        <f t="shared" si="70"/>
        <v>0.33333333333333331</v>
      </c>
      <c r="J95" s="30">
        <f t="shared" si="70"/>
        <v>0.33333333333333331</v>
      </c>
      <c r="K95" s="30">
        <f t="shared" si="70"/>
        <v>0.33333333333333331</v>
      </c>
      <c r="L95" s="30">
        <f t="shared" si="70"/>
        <v>0</v>
      </c>
      <c r="M95" s="30">
        <f t="shared" si="70"/>
        <v>0</v>
      </c>
      <c r="N95" s="30">
        <f t="shared" si="70"/>
        <v>0.33333333333333331</v>
      </c>
      <c r="O95" s="30">
        <f t="shared" si="70"/>
        <v>0.33333333333333331</v>
      </c>
      <c r="P95" s="30">
        <f t="shared" si="70"/>
        <v>0.33333333333333331</v>
      </c>
      <c r="Q95" s="30">
        <f t="shared" si="70"/>
        <v>0.33333333333333331</v>
      </c>
      <c r="R95" s="30">
        <f t="shared" si="70"/>
        <v>0.33333333333333331</v>
      </c>
      <c r="S95" s="30">
        <f t="shared" si="70"/>
        <v>0</v>
      </c>
      <c r="T95" s="30">
        <f t="shared" si="70"/>
        <v>0</v>
      </c>
      <c r="U95" s="30">
        <f t="shared" si="70"/>
        <v>0.33333333333333331</v>
      </c>
      <c r="V95" s="30">
        <f t="shared" si="70"/>
        <v>0.33333333333333331</v>
      </c>
      <c r="W95" s="30">
        <f t="shared" si="70"/>
        <v>0</v>
      </c>
      <c r="X95" s="30">
        <f t="shared" si="70"/>
        <v>0.33333333333333331</v>
      </c>
      <c r="Y95" s="30">
        <f t="shared" si="70"/>
        <v>0.33333333333333331</v>
      </c>
      <c r="Z95" s="30">
        <f t="shared" si="70"/>
        <v>0</v>
      </c>
      <c r="AA95" s="30">
        <f t="shared" si="70"/>
        <v>0</v>
      </c>
      <c r="AB95" s="30">
        <f t="shared" si="70"/>
        <v>0.33333333333333331</v>
      </c>
      <c r="AC95" s="30">
        <f t="shared" si="70"/>
        <v>0.33333333333333331</v>
      </c>
      <c r="AD95" s="30">
        <f t="shared" si="70"/>
        <v>0.33333333333333331</v>
      </c>
      <c r="AE95" s="30">
        <f t="shared" si="70"/>
        <v>0.33333333333333331</v>
      </c>
      <c r="AF95" s="30">
        <f t="shared" si="70"/>
        <v>0.33333333333333331</v>
      </c>
      <c r="AG95" s="30">
        <f t="shared" si="70"/>
        <v>0.33333333333333331</v>
      </c>
      <c r="AH95" s="65">
        <f t="shared" si="70"/>
        <v>0</v>
      </c>
      <c r="AI95" s="58">
        <f t="shared" si="69"/>
        <v>6.6666666666666643</v>
      </c>
    </row>
    <row r="96" spans="1:35" ht="16.5" thickTop="1">
      <c r="A96" s="81">
        <v>10</v>
      </c>
      <c r="B96" s="74" t="s">
        <v>19</v>
      </c>
      <c r="C96" s="23" t="s">
        <v>0</v>
      </c>
      <c r="D96" s="24"/>
      <c r="E96" s="36"/>
      <c r="F96" s="25"/>
      <c r="G96" s="25">
        <v>0.35416666666666669</v>
      </c>
      <c r="H96" s="25">
        <v>0.35416666666666669</v>
      </c>
      <c r="I96" s="25">
        <v>0.35416666666666669</v>
      </c>
      <c r="J96" s="25">
        <v>0.35416666666666669</v>
      </c>
      <c r="K96" s="25">
        <v>0.35416666666666669</v>
      </c>
      <c r="L96" s="25"/>
      <c r="M96" s="25"/>
      <c r="N96" s="25">
        <v>0.35416666666666669</v>
      </c>
      <c r="O96" s="25">
        <v>0.35416666666666669</v>
      </c>
      <c r="P96" s="25">
        <v>0.35416666666666669</v>
      </c>
      <c r="Q96" s="25">
        <v>0.35416666666666669</v>
      </c>
      <c r="R96" s="25">
        <v>0.35416666666666669</v>
      </c>
      <c r="S96" s="25"/>
      <c r="T96" s="25"/>
      <c r="U96" s="25">
        <v>0.35416666666666669</v>
      </c>
      <c r="V96" s="25">
        <v>0.35416666666666669</v>
      </c>
      <c r="W96" s="25">
        <v>0.35416666666666669</v>
      </c>
      <c r="X96" s="25">
        <v>0.35416666666666669</v>
      </c>
      <c r="Y96" s="25">
        <v>0.35416666666666669</v>
      </c>
      <c r="Z96" s="25"/>
      <c r="AA96" s="25"/>
      <c r="AB96" s="25">
        <v>0.35416666666666669</v>
      </c>
      <c r="AC96" s="25">
        <v>0.35416666666666669</v>
      </c>
      <c r="AD96" s="25">
        <v>0.35416666666666669</v>
      </c>
      <c r="AE96" s="25">
        <v>0.35416666666666669</v>
      </c>
      <c r="AF96" s="7"/>
      <c r="AG96" s="7"/>
      <c r="AH96" s="66"/>
      <c r="AI96" s="57"/>
    </row>
    <row r="97" spans="1:36">
      <c r="A97" s="82"/>
      <c r="B97" s="75" t="s">
        <v>31</v>
      </c>
      <c r="C97" s="3" t="s">
        <v>1</v>
      </c>
      <c r="D97" s="4"/>
      <c r="E97" s="37"/>
      <c r="F97" s="5"/>
      <c r="G97" s="5">
        <v>0.75</v>
      </c>
      <c r="H97" s="5">
        <v>0.75</v>
      </c>
      <c r="I97" s="5">
        <v>0.75</v>
      </c>
      <c r="J97" s="5">
        <v>0.75</v>
      </c>
      <c r="K97" s="5">
        <v>0.75</v>
      </c>
      <c r="L97" s="5"/>
      <c r="M97" s="5"/>
      <c r="N97" s="5">
        <v>0.75</v>
      </c>
      <c r="O97" s="5">
        <v>0.75</v>
      </c>
      <c r="P97" s="5">
        <v>0.75</v>
      </c>
      <c r="Q97" s="5">
        <v>0.75</v>
      </c>
      <c r="R97" s="5">
        <v>0.75</v>
      </c>
      <c r="S97" s="5"/>
      <c r="T97" s="5"/>
      <c r="U97" s="5">
        <v>0.75</v>
      </c>
      <c r="V97" s="5">
        <v>0.75</v>
      </c>
      <c r="W97" s="5">
        <v>0.75</v>
      </c>
      <c r="X97" s="5">
        <v>0.75</v>
      </c>
      <c r="Y97" s="5">
        <v>0.72916666666666663</v>
      </c>
      <c r="Z97" s="5"/>
      <c r="AA97" s="5"/>
      <c r="AB97" s="5">
        <v>0.75</v>
      </c>
      <c r="AC97" s="5">
        <v>0.75</v>
      </c>
      <c r="AD97" s="5">
        <v>0.75</v>
      </c>
      <c r="AE97" s="5">
        <v>0.75</v>
      </c>
      <c r="AF97" s="7"/>
      <c r="AG97" s="7"/>
      <c r="AH97" s="61"/>
      <c r="AI97" s="52"/>
    </row>
    <row r="98" spans="1:36" ht="16.5" thickBot="1">
      <c r="A98" s="82"/>
      <c r="B98" s="75"/>
      <c r="C98" s="8" t="s">
        <v>2</v>
      </c>
      <c r="D98" s="10"/>
      <c r="E98" s="38"/>
      <c r="F98" s="9"/>
      <c r="G98" s="9">
        <v>6.25E-2</v>
      </c>
      <c r="H98" s="9">
        <v>6.25E-2</v>
      </c>
      <c r="I98" s="9">
        <v>6.25E-2</v>
      </c>
      <c r="J98" s="9">
        <v>6.25E-2</v>
      </c>
      <c r="K98" s="9">
        <v>6.25E-2</v>
      </c>
      <c r="L98" s="9"/>
      <c r="M98" s="9"/>
      <c r="N98" s="9">
        <v>6.25E-2</v>
      </c>
      <c r="O98" s="9">
        <v>6.25E-2</v>
      </c>
      <c r="P98" s="9">
        <v>6.25E-2</v>
      </c>
      <c r="Q98" s="9">
        <v>6.25E-2</v>
      </c>
      <c r="R98" s="9">
        <v>6.25E-2</v>
      </c>
      <c r="S98" s="9"/>
      <c r="T98" s="9"/>
      <c r="U98" s="9">
        <v>6.25E-2</v>
      </c>
      <c r="V98" s="9">
        <v>6.25E-2</v>
      </c>
      <c r="W98" s="9">
        <v>6.25E-2</v>
      </c>
      <c r="X98" s="9">
        <v>6.25E-2</v>
      </c>
      <c r="Y98" s="9">
        <v>6.25E-2</v>
      </c>
      <c r="Z98" s="9"/>
      <c r="AA98" s="9"/>
      <c r="AB98" s="9">
        <v>6.25E-2</v>
      </c>
      <c r="AC98" s="9">
        <v>6.25E-2</v>
      </c>
      <c r="AD98" s="9">
        <v>6.25E-2</v>
      </c>
      <c r="AE98" s="9">
        <v>6.25E-2</v>
      </c>
      <c r="AF98" s="7"/>
      <c r="AG98" s="7"/>
      <c r="AH98" s="62"/>
      <c r="AI98" s="53"/>
    </row>
    <row r="99" spans="1:36" ht="16.5" thickTop="1">
      <c r="A99" s="82"/>
      <c r="B99" s="75"/>
      <c r="C99" s="17" t="s">
        <v>12</v>
      </c>
      <c r="D99" s="18"/>
      <c r="E99" s="19">
        <f t="shared" ref="E99:AH99" si="71">E97-E96-E98</f>
        <v>0</v>
      </c>
      <c r="F99" s="20">
        <f t="shared" si="71"/>
        <v>0</v>
      </c>
      <c r="G99" s="20">
        <f t="shared" si="71"/>
        <v>0.33333333333333331</v>
      </c>
      <c r="H99" s="20">
        <f t="shared" si="71"/>
        <v>0.33333333333333331</v>
      </c>
      <c r="I99" s="20">
        <f t="shared" si="71"/>
        <v>0.33333333333333331</v>
      </c>
      <c r="J99" s="20">
        <f t="shared" si="71"/>
        <v>0.33333333333333331</v>
      </c>
      <c r="K99" s="20">
        <f t="shared" si="71"/>
        <v>0.33333333333333331</v>
      </c>
      <c r="L99" s="20">
        <f t="shared" si="71"/>
        <v>0</v>
      </c>
      <c r="M99" s="20">
        <f t="shared" si="71"/>
        <v>0</v>
      </c>
      <c r="N99" s="20">
        <f t="shared" si="71"/>
        <v>0.33333333333333331</v>
      </c>
      <c r="O99" s="20">
        <f t="shared" si="71"/>
        <v>0.33333333333333331</v>
      </c>
      <c r="P99" s="20">
        <f t="shared" si="71"/>
        <v>0.33333333333333331</v>
      </c>
      <c r="Q99" s="20">
        <f t="shared" si="71"/>
        <v>0.33333333333333331</v>
      </c>
      <c r="R99" s="20">
        <f t="shared" si="71"/>
        <v>0.33333333333333331</v>
      </c>
      <c r="S99" s="20">
        <f t="shared" si="71"/>
        <v>0</v>
      </c>
      <c r="T99" s="20">
        <f t="shared" si="71"/>
        <v>0</v>
      </c>
      <c r="U99" s="20">
        <f t="shared" ref="U99:Y99" si="72">U97-U96-U98</f>
        <v>0.33333333333333331</v>
      </c>
      <c r="V99" s="20">
        <f t="shared" si="72"/>
        <v>0.33333333333333331</v>
      </c>
      <c r="W99" s="20">
        <f t="shared" si="72"/>
        <v>0.33333333333333331</v>
      </c>
      <c r="X99" s="20">
        <f t="shared" si="72"/>
        <v>0.33333333333333331</v>
      </c>
      <c r="Y99" s="20">
        <f t="shared" si="72"/>
        <v>0.31249999999999994</v>
      </c>
      <c r="Z99" s="20">
        <f t="shared" si="71"/>
        <v>0</v>
      </c>
      <c r="AA99" s="20">
        <f t="shared" si="71"/>
        <v>0</v>
      </c>
      <c r="AB99" s="20">
        <f t="shared" si="71"/>
        <v>0.33333333333333331</v>
      </c>
      <c r="AC99" s="20">
        <f t="shared" si="71"/>
        <v>0.33333333333333331</v>
      </c>
      <c r="AD99" s="20">
        <f t="shared" si="71"/>
        <v>0.33333333333333331</v>
      </c>
      <c r="AE99" s="20">
        <f t="shared" si="71"/>
        <v>0.33333333333333331</v>
      </c>
      <c r="AF99" s="20">
        <f t="shared" si="71"/>
        <v>0</v>
      </c>
      <c r="AG99" s="20">
        <f t="shared" si="71"/>
        <v>0</v>
      </c>
      <c r="AH99" s="63">
        <f t="shared" si="71"/>
        <v>0</v>
      </c>
      <c r="AI99" s="54">
        <f t="shared" ref="AI99:AI105" si="73">SUM(E99:AH99)</f>
        <v>6.3124999999999982</v>
      </c>
      <c r="AJ99" s="42"/>
    </row>
    <row r="100" spans="1:36">
      <c r="A100" s="82"/>
      <c r="B100" s="75"/>
      <c r="C100" s="2" t="s">
        <v>4</v>
      </c>
      <c r="D100" s="3" t="s">
        <v>5</v>
      </c>
      <c r="E100" s="39"/>
      <c r="F100" s="7"/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/>
      <c r="M100" s="7"/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/>
      <c r="T100" s="7"/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/>
      <c r="AA100" s="7"/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/>
      <c r="AH100" s="64"/>
      <c r="AI100" s="55">
        <f t="shared" si="73"/>
        <v>0</v>
      </c>
    </row>
    <row r="101" spans="1:36">
      <c r="A101" s="82"/>
      <c r="B101" s="75"/>
      <c r="C101" s="6"/>
      <c r="D101" s="3" t="s">
        <v>6</v>
      </c>
      <c r="E101" s="39"/>
      <c r="F101" s="7"/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/>
      <c r="M101" s="7"/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/>
      <c r="T101" s="7"/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/>
      <c r="AA101" s="7"/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/>
      <c r="AH101" s="64"/>
      <c r="AI101" s="55">
        <f t="shared" si="73"/>
        <v>0</v>
      </c>
    </row>
    <row r="102" spans="1:36">
      <c r="A102" s="82"/>
      <c r="B102" s="75"/>
      <c r="C102" s="6"/>
      <c r="D102" s="43" t="s">
        <v>21</v>
      </c>
      <c r="E102" s="71"/>
      <c r="F102" s="78"/>
      <c r="G102" s="78">
        <v>0.33333333333333331</v>
      </c>
      <c r="H102" s="78">
        <v>0.33333333333333331</v>
      </c>
      <c r="I102" s="78">
        <v>0.33333333333333331</v>
      </c>
      <c r="J102" s="78">
        <v>0.33333333333333331</v>
      </c>
      <c r="K102" s="78">
        <v>0.33333333333333331</v>
      </c>
      <c r="L102" s="78"/>
      <c r="M102" s="78"/>
      <c r="N102" s="78">
        <v>0.33333333333333331</v>
      </c>
      <c r="O102" s="78">
        <v>0.33333333333333331</v>
      </c>
      <c r="P102" s="78">
        <v>0.33333333333333331</v>
      </c>
      <c r="Q102" s="78">
        <v>0.33333333333333331</v>
      </c>
      <c r="R102" s="78">
        <v>0.33333333333333331</v>
      </c>
      <c r="S102" s="78"/>
      <c r="T102" s="78"/>
      <c r="U102" s="78">
        <v>0.33333333333333331</v>
      </c>
      <c r="V102" s="78">
        <v>0.33333333333333331</v>
      </c>
      <c r="W102" s="78">
        <v>0.33333333333333331</v>
      </c>
      <c r="X102" s="78">
        <v>0.33333333333333331</v>
      </c>
      <c r="Y102" s="78">
        <v>0.3125</v>
      </c>
      <c r="Z102" s="78"/>
      <c r="AA102" s="78"/>
      <c r="AB102" s="78">
        <v>0.33333333333333331</v>
      </c>
      <c r="AC102" s="78">
        <v>0.33333333333333331</v>
      </c>
      <c r="AD102" s="78">
        <v>0.33333333333333331</v>
      </c>
      <c r="AE102" s="78">
        <v>0.33333333333333331</v>
      </c>
      <c r="AF102" s="78">
        <v>0</v>
      </c>
      <c r="AG102" s="78"/>
      <c r="AH102" s="79"/>
      <c r="AI102" s="80">
        <f t="shared" si="73"/>
        <v>6.3124999999999982</v>
      </c>
    </row>
    <row r="103" spans="1:36">
      <c r="A103" s="82"/>
      <c r="B103" s="75"/>
      <c r="C103" s="6"/>
      <c r="D103" s="3" t="s">
        <v>30</v>
      </c>
      <c r="E103" s="39"/>
      <c r="F103" s="7"/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/>
      <c r="M103" s="7"/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/>
      <c r="T103" s="7"/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/>
      <c r="AA103" s="7"/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/>
      <c r="AH103" s="64"/>
      <c r="AI103" s="55">
        <f t="shared" si="73"/>
        <v>0</v>
      </c>
    </row>
    <row r="104" spans="1:36" ht="16.5" thickBot="1">
      <c r="A104" s="82"/>
      <c r="B104" s="75"/>
      <c r="C104" s="6"/>
      <c r="D104" s="3" t="s">
        <v>34</v>
      </c>
      <c r="E104" s="39"/>
      <c r="F104" s="7"/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/>
      <c r="M104" s="7"/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/>
      <c r="T104" s="7"/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/>
      <c r="AA104" s="7"/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/>
      <c r="AH104" s="64"/>
      <c r="AI104" s="55">
        <f t="shared" si="73"/>
        <v>0</v>
      </c>
    </row>
    <row r="105" spans="1:36" ht="17.25" thickTop="1" thickBot="1">
      <c r="A105" s="83"/>
      <c r="B105" s="76"/>
      <c r="C105" s="27" t="s">
        <v>7</v>
      </c>
      <c r="D105" s="28"/>
      <c r="E105" s="29">
        <f>SUM(E100:E104)</f>
        <v>0</v>
      </c>
      <c r="F105" s="30">
        <f>SUM(F100:F104)</f>
        <v>0</v>
      </c>
      <c r="G105" s="41">
        <f>SUM(G100:G104)</f>
        <v>0.33333333333333331</v>
      </c>
      <c r="H105" s="30">
        <f t="shared" ref="H105:AH105" si="74">SUM(H100:H104)</f>
        <v>0.33333333333333331</v>
      </c>
      <c r="I105" s="30">
        <f t="shared" si="74"/>
        <v>0.33333333333333331</v>
      </c>
      <c r="J105" s="30">
        <f t="shared" si="74"/>
        <v>0.33333333333333331</v>
      </c>
      <c r="K105" s="30">
        <f t="shared" si="74"/>
        <v>0.33333333333333331</v>
      </c>
      <c r="L105" s="30">
        <f t="shared" si="74"/>
        <v>0</v>
      </c>
      <c r="M105" s="30">
        <f t="shared" si="74"/>
        <v>0</v>
      </c>
      <c r="N105" s="30">
        <f t="shared" si="74"/>
        <v>0.33333333333333331</v>
      </c>
      <c r="O105" s="30">
        <f t="shared" si="74"/>
        <v>0.33333333333333331</v>
      </c>
      <c r="P105" s="30">
        <f t="shared" si="74"/>
        <v>0.33333333333333331</v>
      </c>
      <c r="Q105" s="30">
        <f t="shared" si="74"/>
        <v>0.33333333333333331</v>
      </c>
      <c r="R105" s="30">
        <f t="shared" si="74"/>
        <v>0.33333333333333331</v>
      </c>
      <c r="S105" s="30">
        <f t="shared" si="74"/>
        <v>0</v>
      </c>
      <c r="T105" s="30">
        <f t="shared" si="74"/>
        <v>0</v>
      </c>
      <c r="U105" s="30">
        <f t="shared" si="74"/>
        <v>0.33333333333333331</v>
      </c>
      <c r="V105" s="30">
        <f t="shared" si="74"/>
        <v>0.33333333333333331</v>
      </c>
      <c r="W105" s="30">
        <f t="shared" si="74"/>
        <v>0.33333333333333331</v>
      </c>
      <c r="X105" s="30">
        <f t="shared" si="74"/>
        <v>0.33333333333333331</v>
      </c>
      <c r="Y105" s="30">
        <f t="shared" si="74"/>
        <v>0.3125</v>
      </c>
      <c r="Z105" s="30">
        <f t="shared" si="74"/>
        <v>0</v>
      </c>
      <c r="AA105" s="30">
        <f t="shared" si="74"/>
        <v>0</v>
      </c>
      <c r="AB105" s="30">
        <f t="shared" si="74"/>
        <v>0.33333333333333331</v>
      </c>
      <c r="AC105" s="30">
        <f t="shared" si="74"/>
        <v>0.33333333333333331</v>
      </c>
      <c r="AD105" s="30">
        <f t="shared" si="74"/>
        <v>0.33333333333333331</v>
      </c>
      <c r="AE105" s="30">
        <f t="shared" si="74"/>
        <v>0.33333333333333331</v>
      </c>
      <c r="AF105" s="30">
        <f t="shared" si="74"/>
        <v>0</v>
      </c>
      <c r="AG105" s="30">
        <f t="shared" si="74"/>
        <v>0</v>
      </c>
      <c r="AH105" s="65">
        <f t="shared" si="74"/>
        <v>0</v>
      </c>
      <c r="AI105" s="58">
        <f t="shared" si="73"/>
        <v>6.3124999999999982</v>
      </c>
    </row>
    <row r="106" spans="1:36" ht="16.5" thickTop="1">
      <c r="A106" s="81">
        <v>11</v>
      </c>
      <c r="B106" s="74" t="s">
        <v>24</v>
      </c>
      <c r="C106" s="23" t="s">
        <v>0</v>
      </c>
      <c r="D106" s="24"/>
      <c r="E106" s="36"/>
      <c r="F106" s="25"/>
      <c r="G106" s="25">
        <v>0.39583333333333331</v>
      </c>
      <c r="H106" s="25"/>
      <c r="I106" s="25">
        <v>0.35416666666666669</v>
      </c>
      <c r="J106" s="25">
        <v>0.35416666666666669</v>
      </c>
      <c r="K106" s="25">
        <v>0.35416666666666669</v>
      </c>
      <c r="L106" s="25"/>
      <c r="M106" s="25"/>
      <c r="N106" s="25">
        <v>0.5</v>
      </c>
      <c r="O106" s="25">
        <v>0.35416666666666669</v>
      </c>
      <c r="P106" s="25">
        <v>0.35416666666666669</v>
      </c>
      <c r="Q106" s="25">
        <v>0.35416666666666669</v>
      </c>
      <c r="R106" s="25">
        <v>0.35416666666666669</v>
      </c>
      <c r="S106" s="25"/>
      <c r="T106" s="25"/>
      <c r="U106" s="25">
        <v>0.35416666666666669</v>
      </c>
      <c r="V106" s="25">
        <v>0.35416666666666669</v>
      </c>
      <c r="W106" s="25">
        <v>0.39583333333333331</v>
      </c>
      <c r="X106" s="25">
        <v>0.35416666666666669</v>
      </c>
      <c r="Y106" s="25">
        <v>0.35416666666666669</v>
      </c>
      <c r="Z106" s="25"/>
      <c r="AA106" s="25"/>
      <c r="AB106" s="25">
        <v>0.35416666666666669</v>
      </c>
      <c r="AC106" s="25">
        <v>0.35416666666666669</v>
      </c>
      <c r="AD106" s="25">
        <v>0.35416666666666669</v>
      </c>
      <c r="AE106" s="25">
        <v>0.35416666666666669</v>
      </c>
      <c r="AF106" s="25">
        <v>0.35416666666666669</v>
      </c>
      <c r="AG106" s="25"/>
      <c r="AH106" s="66"/>
      <c r="AI106" s="57"/>
    </row>
    <row r="107" spans="1:36">
      <c r="A107" s="82"/>
      <c r="B107" s="75" t="s">
        <v>31</v>
      </c>
      <c r="C107" s="3" t="s">
        <v>1</v>
      </c>
      <c r="D107" s="4"/>
      <c r="E107" s="37"/>
      <c r="F107" s="5"/>
      <c r="G107" s="5">
        <v>0.75</v>
      </c>
      <c r="H107" s="5"/>
      <c r="I107" s="5">
        <v>0.75</v>
      </c>
      <c r="J107" s="5">
        <v>0.75</v>
      </c>
      <c r="K107" s="5">
        <v>0.75</v>
      </c>
      <c r="L107" s="5"/>
      <c r="M107" s="5"/>
      <c r="N107" s="5">
        <v>0.72916666666666663</v>
      </c>
      <c r="O107" s="5">
        <v>0.75</v>
      </c>
      <c r="P107" s="5">
        <v>0.75</v>
      </c>
      <c r="Q107" s="5">
        <v>0.75</v>
      </c>
      <c r="R107" s="5">
        <v>0.75</v>
      </c>
      <c r="S107" s="5"/>
      <c r="T107" s="5"/>
      <c r="U107" s="5">
        <v>0.75</v>
      </c>
      <c r="V107" s="5">
        <v>0.75</v>
      </c>
      <c r="W107" s="5">
        <v>0.75</v>
      </c>
      <c r="X107" s="5">
        <v>0.75</v>
      </c>
      <c r="Y107" s="5">
        <v>0.75</v>
      </c>
      <c r="Z107" s="5"/>
      <c r="AA107" s="5"/>
      <c r="AB107" s="5">
        <v>0.75</v>
      </c>
      <c r="AC107" s="5">
        <v>0.5625</v>
      </c>
      <c r="AD107" s="5">
        <v>0.75</v>
      </c>
      <c r="AE107" s="5">
        <v>0.75</v>
      </c>
      <c r="AF107" s="5">
        <v>0.75</v>
      </c>
      <c r="AG107" s="5"/>
      <c r="AH107" s="61"/>
      <c r="AI107" s="52"/>
    </row>
    <row r="108" spans="1:36" ht="16.5" thickBot="1">
      <c r="A108" s="82"/>
      <c r="B108" s="75"/>
      <c r="C108" s="8" t="s">
        <v>2</v>
      </c>
      <c r="D108" s="10"/>
      <c r="E108" s="38"/>
      <c r="F108" s="9"/>
      <c r="G108" s="9">
        <v>6.25E-2</v>
      </c>
      <c r="H108" s="9"/>
      <c r="I108" s="9">
        <v>6.25E-2</v>
      </c>
      <c r="J108" s="9">
        <v>6.25E-2</v>
      </c>
      <c r="K108" s="9">
        <v>6.25E-2</v>
      </c>
      <c r="L108" s="9"/>
      <c r="M108" s="9"/>
      <c r="N108" s="9">
        <v>6.25E-2</v>
      </c>
      <c r="O108" s="9">
        <v>6.25E-2</v>
      </c>
      <c r="P108" s="9">
        <v>6.25E-2</v>
      </c>
      <c r="Q108" s="9">
        <v>6.25E-2</v>
      </c>
      <c r="R108" s="9">
        <v>6.25E-2</v>
      </c>
      <c r="S108" s="9"/>
      <c r="T108" s="9"/>
      <c r="U108" s="9">
        <v>6.25E-2</v>
      </c>
      <c r="V108" s="9">
        <v>6.25E-2</v>
      </c>
      <c r="W108" s="9">
        <v>6.25E-2</v>
      </c>
      <c r="X108" s="9">
        <v>6.25E-2</v>
      </c>
      <c r="Y108" s="9">
        <v>6.25E-2</v>
      </c>
      <c r="Z108" s="9"/>
      <c r="AA108" s="9"/>
      <c r="AB108" s="9">
        <v>6.25E-2</v>
      </c>
      <c r="AC108" s="9">
        <v>6.25E-2</v>
      </c>
      <c r="AD108" s="9">
        <v>6.25E-2</v>
      </c>
      <c r="AE108" s="9">
        <v>6.25E-2</v>
      </c>
      <c r="AF108" s="9">
        <v>6.25E-2</v>
      </c>
      <c r="AG108" s="9"/>
      <c r="AH108" s="62"/>
      <c r="AI108" s="53"/>
    </row>
    <row r="109" spans="1:36" ht="16.5" thickTop="1">
      <c r="A109" s="82"/>
      <c r="B109" s="75"/>
      <c r="C109" s="17" t="s">
        <v>12</v>
      </c>
      <c r="D109" s="18"/>
      <c r="E109" s="19">
        <f t="shared" ref="E109:F109" si="75">E107-E106-E108</f>
        <v>0</v>
      </c>
      <c r="F109" s="20">
        <f t="shared" si="75"/>
        <v>0</v>
      </c>
      <c r="G109" s="20">
        <f t="shared" ref="G109:I109" si="76">G107-G106-G108</f>
        <v>0.29166666666666669</v>
      </c>
      <c r="H109" s="20">
        <f t="shared" si="76"/>
        <v>0</v>
      </c>
      <c r="I109" s="20">
        <f t="shared" si="76"/>
        <v>0.33333333333333331</v>
      </c>
      <c r="J109" s="20">
        <f t="shared" ref="J109:N109" si="77">J107-J106-J108</f>
        <v>0.33333333333333331</v>
      </c>
      <c r="K109" s="20">
        <f t="shared" si="77"/>
        <v>0.33333333333333331</v>
      </c>
      <c r="L109" s="20">
        <f t="shared" si="77"/>
        <v>0</v>
      </c>
      <c r="M109" s="20">
        <f t="shared" si="77"/>
        <v>0</v>
      </c>
      <c r="N109" s="20">
        <f t="shared" si="77"/>
        <v>0.16666666666666663</v>
      </c>
      <c r="O109" s="20">
        <f t="shared" ref="O109:T109" si="78">O107-O106-O108</f>
        <v>0.33333333333333331</v>
      </c>
      <c r="P109" s="20">
        <f t="shared" si="78"/>
        <v>0.33333333333333331</v>
      </c>
      <c r="Q109" s="20">
        <f t="shared" si="78"/>
        <v>0.33333333333333331</v>
      </c>
      <c r="R109" s="20">
        <f t="shared" si="78"/>
        <v>0.33333333333333331</v>
      </c>
      <c r="S109" s="20">
        <f t="shared" si="78"/>
        <v>0</v>
      </c>
      <c r="T109" s="20">
        <f t="shared" si="78"/>
        <v>0</v>
      </c>
      <c r="U109" s="20">
        <f t="shared" ref="U109:Y109" si="79">U107-U106-U108</f>
        <v>0.33333333333333331</v>
      </c>
      <c r="V109" s="20">
        <f t="shared" si="79"/>
        <v>0.33333333333333331</v>
      </c>
      <c r="W109" s="20">
        <f t="shared" si="79"/>
        <v>0.29166666666666669</v>
      </c>
      <c r="X109" s="20">
        <f t="shared" si="79"/>
        <v>0.33333333333333331</v>
      </c>
      <c r="Y109" s="20">
        <f t="shared" si="79"/>
        <v>0.33333333333333331</v>
      </c>
      <c r="Z109" s="20">
        <f t="shared" ref="Z109:AF109" si="80">Z107-Z106-Z108</f>
        <v>0</v>
      </c>
      <c r="AA109" s="20">
        <f t="shared" si="80"/>
        <v>0</v>
      </c>
      <c r="AB109" s="20">
        <f t="shared" si="80"/>
        <v>0.33333333333333331</v>
      </c>
      <c r="AC109" s="20">
        <f t="shared" si="80"/>
        <v>0.14583333333333331</v>
      </c>
      <c r="AD109" s="20">
        <f t="shared" si="80"/>
        <v>0.33333333333333331</v>
      </c>
      <c r="AE109" s="20">
        <f t="shared" si="80"/>
        <v>0.33333333333333331</v>
      </c>
      <c r="AF109" s="20">
        <f t="shared" si="80"/>
        <v>0.33333333333333331</v>
      </c>
      <c r="AG109" s="20">
        <f t="shared" ref="AG109:AH109" si="81">AG107-AG106-AG108</f>
        <v>0</v>
      </c>
      <c r="AH109" s="63">
        <f t="shared" si="81"/>
        <v>0</v>
      </c>
      <c r="AI109" s="54">
        <f t="shared" ref="AI109:AI115" si="82">SUM(E109:AH109)</f>
        <v>5.8958333333333313</v>
      </c>
    </row>
    <row r="110" spans="1:36">
      <c r="A110" s="82"/>
      <c r="B110" s="75"/>
      <c r="C110" s="2" t="s">
        <v>4</v>
      </c>
      <c r="D110" s="3" t="s">
        <v>5</v>
      </c>
      <c r="E110" s="39"/>
      <c r="F110" s="7"/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/>
      <c r="M110" s="7"/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/>
      <c r="T110" s="7"/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/>
      <c r="AA110" s="7"/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/>
      <c r="AH110" s="64"/>
      <c r="AI110" s="55">
        <f t="shared" si="82"/>
        <v>0</v>
      </c>
    </row>
    <row r="111" spans="1:36">
      <c r="A111" s="82"/>
      <c r="B111" s="75"/>
      <c r="C111" s="6"/>
      <c r="D111" s="3" t="s">
        <v>6</v>
      </c>
      <c r="E111" s="39"/>
      <c r="F111" s="7"/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/>
      <c r="M111" s="7"/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/>
      <c r="T111" s="7"/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/>
      <c r="AA111" s="7"/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/>
      <c r="AH111" s="64"/>
      <c r="AI111" s="55">
        <f t="shared" si="82"/>
        <v>0</v>
      </c>
    </row>
    <row r="112" spans="1:36">
      <c r="A112" s="82"/>
      <c r="B112" s="75"/>
      <c r="C112" s="6"/>
      <c r="D112" s="43" t="s">
        <v>21</v>
      </c>
      <c r="E112" s="71"/>
      <c r="F112" s="78"/>
      <c r="G112" s="78">
        <v>0.29166666666666669</v>
      </c>
      <c r="H112" s="78">
        <v>0</v>
      </c>
      <c r="I112" s="78">
        <v>0.33333333333333331</v>
      </c>
      <c r="J112" s="78">
        <v>0.33333333333333331</v>
      </c>
      <c r="K112" s="78">
        <v>0.33333333333333331</v>
      </c>
      <c r="L112" s="78"/>
      <c r="M112" s="78"/>
      <c r="N112" s="78">
        <v>0.16666666666666666</v>
      </c>
      <c r="O112" s="78">
        <v>0.33333333333333331</v>
      </c>
      <c r="P112" s="78">
        <v>0.33333333333333331</v>
      </c>
      <c r="Q112" s="78">
        <v>0.33333333333333331</v>
      </c>
      <c r="R112" s="78">
        <v>0.33333333333333331</v>
      </c>
      <c r="S112" s="78"/>
      <c r="T112" s="78"/>
      <c r="U112" s="78">
        <v>0.33333333333333331</v>
      </c>
      <c r="V112" s="78">
        <v>0.33333333333333331</v>
      </c>
      <c r="W112" s="78">
        <v>0.29166666666666669</v>
      </c>
      <c r="X112" s="78">
        <v>0.33333333333333331</v>
      </c>
      <c r="Y112" s="78">
        <v>0.33333333333333331</v>
      </c>
      <c r="Z112" s="78"/>
      <c r="AA112" s="78"/>
      <c r="AB112" s="78">
        <v>0.33333333333333331</v>
      </c>
      <c r="AC112" s="78">
        <v>0.14583333333333334</v>
      </c>
      <c r="AD112" s="78">
        <v>0.33333333333333331</v>
      </c>
      <c r="AE112" s="78">
        <v>0.33333333333333331</v>
      </c>
      <c r="AF112" s="78">
        <v>0.33333333333333331</v>
      </c>
      <c r="AG112" s="78"/>
      <c r="AH112" s="79"/>
      <c r="AI112" s="80">
        <f t="shared" si="82"/>
        <v>5.8958333333333321</v>
      </c>
    </row>
    <row r="113" spans="1:35">
      <c r="A113" s="82"/>
      <c r="B113" s="75"/>
      <c r="C113" s="6"/>
      <c r="D113" s="3" t="s">
        <v>30</v>
      </c>
      <c r="E113" s="39"/>
      <c r="F113" s="7"/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/>
      <c r="M113" s="7"/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/>
      <c r="T113" s="7"/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/>
      <c r="AA113" s="7"/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/>
      <c r="AH113" s="64"/>
      <c r="AI113" s="55">
        <f t="shared" si="82"/>
        <v>0</v>
      </c>
    </row>
    <row r="114" spans="1:35" ht="16.5" thickBot="1">
      <c r="A114" s="82"/>
      <c r="B114" s="75"/>
      <c r="C114" s="6"/>
      <c r="D114" s="3" t="s">
        <v>34</v>
      </c>
      <c r="E114" s="39"/>
      <c r="F114" s="7"/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/>
      <c r="M114" s="7"/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/>
      <c r="T114" s="7"/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/>
      <c r="AA114" s="7"/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/>
      <c r="AH114" s="64"/>
      <c r="AI114" s="55">
        <f t="shared" si="82"/>
        <v>0</v>
      </c>
    </row>
    <row r="115" spans="1:35" ht="17.25" thickTop="1" thickBot="1">
      <c r="A115" s="83"/>
      <c r="B115" s="76"/>
      <c r="C115" s="27" t="s">
        <v>7</v>
      </c>
      <c r="D115" s="28"/>
      <c r="E115" s="29">
        <f>SUM(E110:E114)</f>
        <v>0</v>
      </c>
      <c r="F115" s="30">
        <f>SUM(F110:F114)</f>
        <v>0</v>
      </c>
      <c r="G115" s="41">
        <f t="shared" ref="G115:AG115" si="83">SUM(G110:G114)</f>
        <v>0.29166666666666669</v>
      </c>
      <c r="H115" s="30">
        <f t="shared" si="83"/>
        <v>0</v>
      </c>
      <c r="I115" s="30">
        <f t="shared" si="83"/>
        <v>0.33333333333333331</v>
      </c>
      <c r="J115" s="30">
        <f t="shared" si="83"/>
        <v>0.33333333333333331</v>
      </c>
      <c r="K115" s="30">
        <f t="shared" si="83"/>
        <v>0.33333333333333331</v>
      </c>
      <c r="L115" s="30">
        <f t="shared" si="83"/>
        <v>0</v>
      </c>
      <c r="M115" s="30">
        <f t="shared" si="83"/>
        <v>0</v>
      </c>
      <c r="N115" s="30">
        <f t="shared" si="83"/>
        <v>0.16666666666666666</v>
      </c>
      <c r="O115" s="30">
        <f t="shared" si="83"/>
        <v>0.33333333333333331</v>
      </c>
      <c r="P115" s="30">
        <f t="shared" si="83"/>
        <v>0.33333333333333331</v>
      </c>
      <c r="Q115" s="30">
        <f t="shared" si="83"/>
        <v>0.33333333333333331</v>
      </c>
      <c r="R115" s="30">
        <f t="shared" si="83"/>
        <v>0.33333333333333331</v>
      </c>
      <c r="S115" s="30">
        <f t="shared" si="83"/>
        <v>0</v>
      </c>
      <c r="T115" s="30">
        <f t="shared" si="83"/>
        <v>0</v>
      </c>
      <c r="U115" s="30">
        <f t="shared" si="83"/>
        <v>0.33333333333333331</v>
      </c>
      <c r="V115" s="30">
        <f t="shared" si="83"/>
        <v>0.33333333333333331</v>
      </c>
      <c r="W115" s="30">
        <f t="shared" si="83"/>
        <v>0.29166666666666669</v>
      </c>
      <c r="X115" s="30">
        <f t="shared" si="83"/>
        <v>0.33333333333333331</v>
      </c>
      <c r="Y115" s="30">
        <f t="shared" si="83"/>
        <v>0.33333333333333331</v>
      </c>
      <c r="Z115" s="30">
        <f t="shared" si="83"/>
        <v>0</v>
      </c>
      <c r="AA115" s="30">
        <f t="shared" si="83"/>
        <v>0</v>
      </c>
      <c r="AB115" s="30">
        <f t="shared" si="83"/>
        <v>0.33333333333333331</v>
      </c>
      <c r="AC115" s="30">
        <f t="shared" si="83"/>
        <v>0.14583333333333334</v>
      </c>
      <c r="AD115" s="30">
        <f t="shared" si="83"/>
        <v>0.33333333333333331</v>
      </c>
      <c r="AE115" s="30">
        <f t="shared" si="83"/>
        <v>0.33333333333333331</v>
      </c>
      <c r="AF115" s="30">
        <f t="shared" si="83"/>
        <v>0.33333333333333331</v>
      </c>
      <c r="AG115" s="30">
        <f t="shared" si="83"/>
        <v>0</v>
      </c>
      <c r="AH115" s="65">
        <f t="shared" ref="AH115" si="84">SUM(AH110:AH114)</f>
        <v>0</v>
      </c>
      <c r="AI115" s="58">
        <f t="shared" si="82"/>
        <v>5.8958333333333321</v>
      </c>
    </row>
    <row r="116" spans="1:35" ht="16.5" thickTop="1">
      <c r="A116" s="81">
        <v>12</v>
      </c>
      <c r="B116" s="74" t="s">
        <v>26</v>
      </c>
      <c r="C116" s="23" t="s">
        <v>0</v>
      </c>
      <c r="D116" s="24"/>
      <c r="E116" s="36"/>
      <c r="F116" s="25"/>
      <c r="G116" s="25">
        <v>0.35416666666666669</v>
      </c>
      <c r="H116" s="25">
        <v>0.35416666666666669</v>
      </c>
      <c r="I116" s="25">
        <v>0.35416666666666669</v>
      </c>
      <c r="J116" s="25">
        <v>0.35416666666666669</v>
      </c>
      <c r="K116" s="25">
        <v>0.35416666666666669</v>
      </c>
      <c r="L116" s="25"/>
      <c r="M116" s="25"/>
      <c r="N116" s="25">
        <v>0.35416666666666669</v>
      </c>
      <c r="O116" s="25">
        <v>0.35416666666666669</v>
      </c>
      <c r="P116" s="25">
        <v>0.35416666666666669</v>
      </c>
      <c r="Q116" s="25">
        <v>0.35416666666666669</v>
      </c>
      <c r="R116" s="25">
        <v>0.35416666666666669</v>
      </c>
      <c r="S116" s="25"/>
      <c r="T116" s="25"/>
      <c r="U116" s="25">
        <v>0.35416666666666669</v>
      </c>
      <c r="V116" s="25">
        <v>0.35416666666666669</v>
      </c>
      <c r="W116" s="25">
        <v>0.35416666666666669</v>
      </c>
      <c r="X116" s="25">
        <v>0.35416666666666669</v>
      </c>
      <c r="Y116" s="25">
        <v>0.35416666666666669</v>
      </c>
      <c r="Z116" s="25"/>
      <c r="AA116" s="25"/>
      <c r="AB116" s="25">
        <v>0.35416666666666669</v>
      </c>
      <c r="AC116" s="25">
        <v>0.35416666666666669</v>
      </c>
      <c r="AD116" s="25">
        <v>0.35416666666666669</v>
      </c>
      <c r="AE116" s="25">
        <v>0.35416666666666669</v>
      </c>
      <c r="AF116" s="25">
        <v>0.35416666666666669</v>
      </c>
      <c r="AG116" s="25"/>
      <c r="AH116" s="66"/>
      <c r="AI116" s="57"/>
    </row>
    <row r="117" spans="1:35">
      <c r="A117" s="82"/>
      <c r="B117" s="75" t="s">
        <v>31</v>
      </c>
      <c r="C117" s="3" t="s">
        <v>1</v>
      </c>
      <c r="D117" s="4"/>
      <c r="E117" s="37"/>
      <c r="F117" s="5"/>
      <c r="G117" s="5">
        <v>0.75</v>
      </c>
      <c r="H117" s="5">
        <v>0.75</v>
      </c>
      <c r="I117" s="5">
        <v>0.75</v>
      </c>
      <c r="J117" s="5">
        <v>0.66666666666666663</v>
      </c>
      <c r="K117" s="5">
        <v>0.75</v>
      </c>
      <c r="L117" s="5"/>
      <c r="M117" s="5"/>
      <c r="N117" s="5">
        <v>0.75</v>
      </c>
      <c r="O117" s="5">
        <v>0.75</v>
      </c>
      <c r="P117" s="5">
        <v>0.75</v>
      </c>
      <c r="Q117" s="5">
        <v>0.75</v>
      </c>
      <c r="R117" s="5">
        <v>0.75</v>
      </c>
      <c r="S117" s="5"/>
      <c r="T117" s="5"/>
      <c r="U117" s="5">
        <v>0.75</v>
      </c>
      <c r="V117" s="5">
        <v>0.75</v>
      </c>
      <c r="W117" s="5">
        <v>0.75</v>
      </c>
      <c r="X117" s="5">
        <v>0.75</v>
      </c>
      <c r="Y117" s="5">
        <v>0.75</v>
      </c>
      <c r="Z117" s="5"/>
      <c r="AA117" s="5"/>
      <c r="AB117" s="5">
        <v>0.75</v>
      </c>
      <c r="AC117" s="5">
        <v>0.75</v>
      </c>
      <c r="AD117" s="5">
        <v>0.75</v>
      </c>
      <c r="AE117" s="5">
        <v>0.75</v>
      </c>
      <c r="AF117" s="5">
        <v>0.75</v>
      </c>
      <c r="AG117" s="5"/>
      <c r="AH117" s="61"/>
      <c r="AI117" s="52"/>
    </row>
    <row r="118" spans="1:35" ht="15.6" customHeight="1" thickBot="1">
      <c r="A118" s="82"/>
      <c r="B118" s="75"/>
      <c r="C118" s="8" t="s">
        <v>2</v>
      </c>
      <c r="D118" s="10"/>
      <c r="E118" s="38"/>
      <c r="F118" s="9"/>
      <c r="G118" s="9">
        <v>6.25E-2</v>
      </c>
      <c r="H118" s="9">
        <v>6.25E-2</v>
      </c>
      <c r="I118" s="9">
        <v>6.25E-2</v>
      </c>
      <c r="J118" s="9">
        <v>6.25E-2</v>
      </c>
      <c r="K118" s="9">
        <v>6.25E-2</v>
      </c>
      <c r="L118" s="9"/>
      <c r="M118" s="9"/>
      <c r="N118" s="9">
        <v>6.25E-2</v>
      </c>
      <c r="O118" s="9">
        <v>6.25E-2</v>
      </c>
      <c r="P118" s="9">
        <v>6.25E-2</v>
      </c>
      <c r="Q118" s="9">
        <v>6.25E-2</v>
      </c>
      <c r="R118" s="9">
        <v>6.25E-2</v>
      </c>
      <c r="S118" s="9"/>
      <c r="T118" s="9"/>
      <c r="U118" s="9">
        <v>6.25E-2</v>
      </c>
      <c r="V118" s="9">
        <v>6.25E-2</v>
      </c>
      <c r="W118" s="9">
        <v>6.25E-2</v>
      </c>
      <c r="X118" s="9">
        <v>6.25E-2</v>
      </c>
      <c r="Y118" s="9">
        <v>6.25E-2</v>
      </c>
      <c r="Z118" s="9"/>
      <c r="AA118" s="9"/>
      <c r="AB118" s="9">
        <v>6.25E-2</v>
      </c>
      <c r="AC118" s="9">
        <v>6.25E-2</v>
      </c>
      <c r="AD118" s="9">
        <v>6.25E-2</v>
      </c>
      <c r="AE118" s="9">
        <v>6.25E-2</v>
      </c>
      <c r="AF118" s="9">
        <v>6.25E-2</v>
      </c>
      <c r="AG118" s="9"/>
      <c r="AH118" s="62"/>
      <c r="AI118" s="53"/>
    </row>
    <row r="119" spans="1:35" ht="16.5" thickTop="1">
      <c r="A119" s="82"/>
      <c r="B119" s="75"/>
      <c r="C119" s="17" t="s">
        <v>12</v>
      </c>
      <c r="D119" s="18"/>
      <c r="E119" s="19">
        <f t="shared" ref="E119:F119" si="85">E117-E116-E118</f>
        <v>0</v>
      </c>
      <c r="F119" s="20">
        <f t="shared" si="85"/>
        <v>0</v>
      </c>
      <c r="G119" s="20">
        <f t="shared" ref="G119:N119" si="86">G117-G116-G118</f>
        <v>0.33333333333333331</v>
      </c>
      <c r="H119" s="20">
        <f t="shared" si="86"/>
        <v>0.33333333333333331</v>
      </c>
      <c r="I119" s="20">
        <f t="shared" si="86"/>
        <v>0.33333333333333331</v>
      </c>
      <c r="J119" s="20">
        <f t="shared" si="86"/>
        <v>0.24999999999999994</v>
      </c>
      <c r="K119" s="20">
        <f t="shared" si="86"/>
        <v>0.33333333333333331</v>
      </c>
      <c r="L119" s="20">
        <f t="shared" si="86"/>
        <v>0</v>
      </c>
      <c r="M119" s="20">
        <f t="shared" si="86"/>
        <v>0</v>
      </c>
      <c r="N119" s="20">
        <f t="shared" si="86"/>
        <v>0.33333333333333331</v>
      </c>
      <c r="O119" s="20">
        <f t="shared" ref="O119:U119" si="87">O117-O116-O118</f>
        <v>0.33333333333333331</v>
      </c>
      <c r="P119" s="20">
        <f t="shared" si="87"/>
        <v>0.33333333333333331</v>
      </c>
      <c r="Q119" s="20">
        <f t="shared" si="87"/>
        <v>0.33333333333333331</v>
      </c>
      <c r="R119" s="20">
        <f t="shared" si="87"/>
        <v>0.33333333333333331</v>
      </c>
      <c r="S119" s="20">
        <f t="shared" si="87"/>
        <v>0</v>
      </c>
      <c r="T119" s="20">
        <f t="shared" si="87"/>
        <v>0</v>
      </c>
      <c r="U119" s="20">
        <f t="shared" si="87"/>
        <v>0.33333333333333331</v>
      </c>
      <c r="V119" s="20">
        <f t="shared" ref="V119:Y119" si="88">V117-V116-V118</f>
        <v>0.33333333333333331</v>
      </c>
      <c r="W119" s="20">
        <f t="shared" si="88"/>
        <v>0.33333333333333331</v>
      </c>
      <c r="X119" s="20">
        <f t="shared" si="88"/>
        <v>0.33333333333333331</v>
      </c>
      <c r="Y119" s="20">
        <f t="shared" si="88"/>
        <v>0.33333333333333331</v>
      </c>
      <c r="Z119" s="20">
        <f t="shared" ref="Z119:AF119" si="89">Z117-Z116-Z118</f>
        <v>0</v>
      </c>
      <c r="AA119" s="20">
        <f t="shared" si="89"/>
        <v>0</v>
      </c>
      <c r="AB119" s="20">
        <f t="shared" si="89"/>
        <v>0.33333333333333331</v>
      </c>
      <c r="AC119" s="20">
        <f t="shared" si="89"/>
        <v>0.33333333333333331</v>
      </c>
      <c r="AD119" s="20">
        <f t="shared" si="89"/>
        <v>0.33333333333333331</v>
      </c>
      <c r="AE119" s="20">
        <f t="shared" si="89"/>
        <v>0.33333333333333331</v>
      </c>
      <c r="AF119" s="20">
        <f t="shared" si="89"/>
        <v>0.33333333333333331</v>
      </c>
      <c r="AG119" s="20">
        <f t="shared" ref="AG119:AH119" si="90">AG117-AG116-AG118</f>
        <v>0</v>
      </c>
      <c r="AH119" s="63">
        <f t="shared" si="90"/>
        <v>0</v>
      </c>
      <c r="AI119" s="54">
        <f t="shared" ref="AI119:AI125" si="91">SUM(E119:AH119)</f>
        <v>6.5833333333333321</v>
      </c>
    </row>
    <row r="120" spans="1:35">
      <c r="A120" s="82"/>
      <c r="B120" s="75"/>
      <c r="C120" s="2" t="s">
        <v>4</v>
      </c>
      <c r="D120" s="3" t="s">
        <v>5</v>
      </c>
      <c r="E120" s="39"/>
      <c r="F120" s="7"/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/>
      <c r="M120" s="7"/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/>
      <c r="T120" s="7"/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/>
      <c r="AA120" s="7"/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/>
      <c r="AH120" s="64"/>
      <c r="AI120" s="55">
        <f t="shared" si="91"/>
        <v>0</v>
      </c>
    </row>
    <row r="121" spans="1:35">
      <c r="A121" s="82"/>
      <c r="B121" s="75"/>
      <c r="C121" s="6"/>
      <c r="D121" s="3" t="s">
        <v>6</v>
      </c>
      <c r="E121" s="39"/>
      <c r="F121" s="7"/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/>
      <c r="M121" s="7"/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/>
      <c r="T121" s="7"/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/>
      <c r="AA121" s="7"/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/>
      <c r="AH121" s="64"/>
      <c r="AI121" s="55">
        <f t="shared" si="91"/>
        <v>0</v>
      </c>
    </row>
    <row r="122" spans="1:35">
      <c r="A122" s="82"/>
      <c r="B122" s="75"/>
      <c r="C122" s="6"/>
      <c r="D122" s="43" t="s">
        <v>21</v>
      </c>
      <c r="E122" s="71"/>
      <c r="F122" s="78"/>
      <c r="G122" s="78">
        <v>0.33333333333333331</v>
      </c>
      <c r="H122" s="78">
        <v>0.33333333333333331</v>
      </c>
      <c r="I122" s="78">
        <v>0.33333333333333331</v>
      </c>
      <c r="J122" s="78">
        <v>0.25</v>
      </c>
      <c r="K122" s="78">
        <v>0.33333333333333331</v>
      </c>
      <c r="L122" s="78"/>
      <c r="M122" s="78"/>
      <c r="N122" s="78">
        <v>0.33333333333333331</v>
      </c>
      <c r="O122" s="78">
        <v>0.33333333333333331</v>
      </c>
      <c r="P122" s="78">
        <v>0.33333333333333331</v>
      </c>
      <c r="Q122" s="78">
        <v>0.33333333333333331</v>
      </c>
      <c r="R122" s="78">
        <v>0.33333333333333331</v>
      </c>
      <c r="S122" s="78"/>
      <c r="T122" s="78"/>
      <c r="U122" s="78">
        <v>0.33333333333333331</v>
      </c>
      <c r="V122" s="78">
        <v>0.33333333333333331</v>
      </c>
      <c r="W122" s="78">
        <v>0.33333333333333331</v>
      </c>
      <c r="X122" s="78">
        <v>0.33333333333333331</v>
      </c>
      <c r="Y122" s="78">
        <v>0.33333333333333331</v>
      </c>
      <c r="Z122" s="78"/>
      <c r="AA122" s="78"/>
      <c r="AB122" s="78">
        <v>0.33333333333333331</v>
      </c>
      <c r="AC122" s="78">
        <v>0.33333333333333331</v>
      </c>
      <c r="AD122" s="78">
        <v>0.33333333333333331</v>
      </c>
      <c r="AE122" s="78">
        <v>0.33333333333333331</v>
      </c>
      <c r="AF122" s="78">
        <v>0.33333333333333331</v>
      </c>
      <c r="AG122" s="78"/>
      <c r="AH122" s="79"/>
      <c r="AI122" s="80">
        <f t="shared" si="91"/>
        <v>6.5833333333333321</v>
      </c>
    </row>
    <row r="123" spans="1:35">
      <c r="A123" s="82"/>
      <c r="B123" s="75"/>
      <c r="C123" s="6"/>
      <c r="D123" s="3" t="s">
        <v>30</v>
      </c>
      <c r="E123" s="39"/>
      <c r="F123" s="7"/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/>
      <c r="M123" s="7"/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/>
      <c r="T123" s="7"/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/>
      <c r="AA123" s="7"/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/>
      <c r="AH123" s="64"/>
      <c r="AI123" s="55">
        <f t="shared" si="91"/>
        <v>0</v>
      </c>
    </row>
    <row r="124" spans="1:35" ht="16.5" thickBot="1">
      <c r="A124" s="82"/>
      <c r="B124" s="75"/>
      <c r="C124" s="6"/>
      <c r="D124" s="3" t="s">
        <v>34</v>
      </c>
      <c r="E124" s="39"/>
      <c r="F124" s="7"/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/>
      <c r="M124" s="7"/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/>
      <c r="T124" s="7"/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/>
      <c r="AA124" s="7"/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/>
      <c r="AH124" s="64"/>
      <c r="AI124" s="55">
        <f t="shared" si="91"/>
        <v>0</v>
      </c>
    </row>
    <row r="125" spans="1:35" ht="17.25" thickTop="1" thickBot="1">
      <c r="A125" s="83"/>
      <c r="B125" s="76"/>
      <c r="C125" s="27" t="s">
        <v>7</v>
      </c>
      <c r="D125" s="28"/>
      <c r="E125" s="29">
        <f>SUM(E120:E124)</f>
        <v>0</v>
      </c>
      <c r="F125" s="30">
        <f>SUM(F120:F124)</f>
        <v>0</v>
      </c>
      <c r="G125" s="41">
        <f t="shared" ref="G125:AG125" si="92">SUM(G120:G124)</f>
        <v>0.33333333333333331</v>
      </c>
      <c r="H125" s="30">
        <f t="shared" si="92"/>
        <v>0.33333333333333331</v>
      </c>
      <c r="I125" s="30">
        <f t="shared" si="92"/>
        <v>0.33333333333333331</v>
      </c>
      <c r="J125" s="30">
        <f t="shared" si="92"/>
        <v>0.25</v>
      </c>
      <c r="K125" s="30">
        <f t="shared" si="92"/>
        <v>0.33333333333333331</v>
      </c>
      <c r="L125" s="30">
        <f t="shared" si="92"/>
        <v>0</v>
      </c>
      <c r="M125" s="30">
        <f t="shared" si="92"/>
        <v>0</v>
      </c>
      <c r="N125" s="30">
        <f t="shared" si="92"/>
        <v>0.33333333333333331</v>
      </c>
      <c r="O125" s="30">
        <f t="shared" si="92"/>
        <v>0.33333333333333331</v>
      </c>
      <c r="P125" s="30">
        <f t="shared" si="92"/>
        <v>0.33333333333333331</v>
      </c>
      <c r="Q125" s="30">
        <f t="shared" si="92"/>
        <v>0.33333333333333331</v>
      </c>
      <c r="R125" s="30">
        <f t="shared" si="92"/>
        <v>0.33333333333333331</v>
      </c>
      <c r="S125" s="30">
        <f t="shared" si="92"/>
        <v>0</v>
      </c>
      <c r="T125" s="30">
        <f t="shared" si="92"/>
        <v>0</v>
      </c>
      <c r="U125" s="30">
        <f t="shared" si="92"/>
        <v>0.33333333333333331</v>
      </c>
      <c r="V125" s="30">
        <f t="shared" si="92"/>
        <v>0.33333333333333331</v>
      </c>
      <c r="W125" s="30">
        <f t="shared" si="92"/>
        <v>0.33333333333333331</v>
      </c>
      <c r="X125" s="30">
        <f t="shared" si="92"/>
        <v>0.33333333333333331</v>
      </c>
      <c r="Y125" s="30">
        <f t="shared" si="92"/>
        <v>0.33333333333333331</v>
      </c>
      <c r="Z125" s="30">
        <f t="shared" si="92"/>
        <v>0</v>
      </c>
      <c r="AA125" s="30">
        <f t="shared" si="92"/>
        <v>0</v>
      </c>
      <c r="AB125" s="30">
        <f t="shared" si="92"/>
        <v>0.33333333333333331</v>
      </c>
      <c r="AC125" s="30">
        <f t="shared" si="92"/>
        <v>0.33333333333333331</v>
      </c>
      <c r="AD125" s="30">
        <f t="shared" si="92"/>
        <v>0.33333333333333331</v>
      </c>
      <c r="AE125" s="30">
        <f t="shared" si="92"/>
        <v>0.33333333333333331</v>
      </c>
      <c r="AF125" s="30">
        <f t="shared" si="92"/>
        <v>0.33333333333333331</v>
      </c>
      <c r="AG125" s="30">
        <f t="shared" si="92"/>
        <v>0</v>
      </c>
      <c r="AH125" s="65">
        <f t="shared" ref="AH125" si="93">SUM(AH120:AH124)</f>
        <v>0</v>
      </c>
      <c r="AI125" s="58">
        <f t="shared" si="91"/>
        <v>6.5833333333333321</v>
      </c>
    </row>
    <row r="126" spans="1:35" ht="16.5" thickTop="1">
      <c r="A126" s="81">
        <v>13</v>
      </c>
      <c r="B126" s="74" t="s">
        <v>27</v>
      </c>
      <c r="C126" s="23" t="s">
        <v>0</v>
      </c>
      <c r="D126" s="24"/>
      <c r="E126" s="36"/>
      <c r="F126" s="25"/>
      <c r="G126" s="25">
        <v>0.5</v>
      </c>
      <c r="H126" s="25">
        <v>0.35416666666666669</v>
      </c>
      <c r="I126" s="25">
        <v>0.35416666666666669</v>
      </c>
      <c r="J126" s="25">
        <v>0.35416666666666669</v>
      </c>
      <c r="K126" s="25">
        <v>0.35416666666666669</v>
      </c>
      <c r="L126" s="25"/>
      <c r="M126" s="25"/>
      <c r="N126" s="25">
        <v>0.35416666666666669</v>
      </c>
      <c r="O126" s="25">
        <v>0.35416666666666669</v>
      </c>
      <c r="P126" s="25">
        <v>0.35416666666666669</v>
      </c>
      <c r="Q126" s="25">
        <v>0.35416666666666669</v>
      </c>
      <c r="R126" s="25">
        <v>0.35416666666666669</v>
      </c>
      <c r="S126" s="25"/>
      <c r="T126" s="25"/>
      <c r="U126" s="25">
        <v>0.35416666666666669</v>
      </c>
      <c r="V126" s="25">
        <v>0.35416666666666669</v>
      </c>
      <c r="W126" s="25">
        <v>0.35416666666666669</v>
      </c>
      <c r="X126" s="25">
        <v>0.35416666666666669</v>
      </c>
      <c r="Y126" s="25">
        <v>0.35416666666666669</v>
      </c>
      <c r="Z126" s="25"/>
      <c r="AA126" s="25"/>
      <c r="AB126" s="25">
        <v>0.35416666666666669</v>
      </c>
      <c r="AC126" s="25"/>
      <c r="AD126" s="25">
        <v>0.35416666666666669</v>
      </c>
      <c r="AE126" s="25">
        <v>0.35416666666666669</v>
      </c>
      <c r="AF126" s="25">
        <v>0.35416666666666669</v>
      </c>
      <c r="AG126" s="25"/>
      <c r="AH126" s="66"/>
      <c r="AI126" s="57"/>
    </row>
    <row r="127" spans="1:35">
      <c r="A127" s="82"/>
      <c r="B127" s="75" t="s">
        <v>31</v>
      </c>
      <c r="C127" s="3" t="s">
        <v>1</v>
      </c>
      <c r="D127" s="4"/>
      <c r="E127" s="37"/>
      <c r="F127" s="5"/>
      <c r="G127" s="5">
        <v>0.72916666666666663</v>
      </c>
      <c r="H127" s="5">
        <v>0.75</v>
      </c>
      <c r="I127" s="5">
        <v>0.75</v>
      </c>
      <c r="J127" s="5">
        <v>0.75</v>
      </c>
      <c r="K127" s="5">
        <v>0.75</v>
      </c>
      <c r="L127" s="5"/>
      <c r="M127" s="5"/>
      <c r="N127" s="5">
        <v>0.75</v>
      </c>
      <c r="O127" s="5">
        <v>0.75</v>
      </c>
      <c r="P127" s="5">
        <v>0.75</v>
      </c>
      <c r="Q127" s="5">
        <v>0.75</v>
      </c>
      <c r="R127" s="5">
        <v>0.75</v>
      </c>
      <c r="S127" s="5"/>
      <c r="T127" s="5"/>
      <c r="U127" s="5">
        <v>0.75</v>
      </c>
      <c r="V127" s="5">
        <v>0.75</v>
      </c>
      <c r="W127" s="5">
        <v>0.75</v>
      </c>
      <c r="X127" s="5">
        <v>0.75</v>
      </c>
      <c r="Y127" s="5">
        <v>0.75</v>
      </c>
      <c r="Z127" s="5"/>
      <c r="AA127" s="5"/>
      <c r="AB127" s="5">
        <v>0.75</v>
      </c>
      <c r="AC127" s="5"/>
      <c r="AD127" s="5">
        <v>0.75</v>
      </c>
      <c r="AE127" s="5">
        <v>0.75</v>
      </c>
      <c r="AF127" s="5">
        <v>0.75</v>
      </c>
      <c r="AG127" s="5"/>
      <c r="AH127" s="61"/>
      <c r="AI127" s="52"/>
    </row>
    <row r="128" spans="1:35" ht="16.5" thickBot="1">
      <c r="A128" s="82"/>
      <c r="B128" s="75"/>
      <c r="C128" s="8" t="s">
        <v>2</v>
      </c>
      <c r="D128" s="10"/>
      <c r="E128" s="38"/>
      <c r="F128" s="9"/>
      <c r="G128" s="9">
        <v>6.25E-2</v>
      </c>
      <c r="H128" s="9">
        <v>6.25E-2</v>
      </c>
      <c r="I128" s="9">
        <v>6.25E-2</v>
      </c>
      <c r="J128" s="9">
        <v>6.25E-2</v>
      </c>
      <c r="K128" s="9">
        <v>6.25E-2</v>
      </c>
      <c r="L128" s="9"/>
      <c r="M128" s="9"/>
      <c r="N128" s="9">
        <v>6.25E-2</v>
      </c>
      <c r="O128" s="9">
        <v>6.25E-2</v>
      </c>
      <c r="P128" s="9">
        <v>6.25E-2</v>
      </c>
      <c r="Q128" s="9">
        <v>6.25E-2</v>
      </c>
      <c r="R128" s="9">
        <v>6.25E-2</v>
      </c>
      <c r="S128" s="9"/>
      <c r="T128" s="9"/>
      <c r="U128" s="9">
        <v>6.25E-2</v>
      </c>
      <c r="V128" s="9">
        <v>6.25E-2</v>
      </c>
      <c r="W128" s="9">
        <v>6.25E-2</v>
      </c>
      <c r="X128" s="9">
        <v>6.25E-2</v>
      </c>
      <c r="Y128" s="9">
        <v>6.25E-2</v>
      </c>
      <c r="Z128" s="9"/>
      <c r="AA128" s="9"/>
      <c r="AB128" s="9">
        <v>6.25E-2</v>
      </c>
      <c r="AC128" s="9"/>
      <c r="AD128" s="9">
        <v>6.25E-2</v>
      </c>
      <c r="AE128" s="9">
        <v>6.25E-2</v>
      </c>
      <c r="AF128" s="9">
        <v>6.25E-2</v>
      </c>
      <c r="AG128" s="9"/>
      <c r="AH128" s="62"/>
      <c r="AI128" s="53"/>
    </row>
    <row r="129" spans="1:35" ht="16.5" thickTop="1">
      <c r="A129" s="82"/>
      <c r="B129" s="75"/>
      <c r="C129" s="17" t="s">
        <v>12</v>
      </c>
      <c r="D129" s="18"/>
      <c r="E129" s="19">
        <f t="shared" ref="E129:F129" si="94">E127-E126-E128</f>
        <v>0</v>
      </c>
      <c r="F129" s="20">
        <f t="shared" si="94"/>
        <v>0</v>
      </c>
      <c r="G129" s="20">
        <f t="shared" ref="G129:N129" si="95">G127-G126-G128</f>
        <v>0.16666666666666663</v>
      </c>
      <c r="H129" s="20">
        <f t="shared" si="95"/>
        <v>0.33333333333333331</v>
      </c>
      <c r="I129" s="20">
        <f t="shared" si="95"/>
        <v>0.33333333333333331</v>
      </c>
      <c r="J129" s="20">
        <f t="shared" si="95"/>
        <v>0.33333333333333331</v>
      </c>
      <c r="K129" s="20">
        <f t="shared" si="95"/>
        <v>0.33333333333333331</v>
      </c>
      <c r="L129" s="20">
        <f t="shared" si="95"/>
        <v>0</v>
      </c>
      <c r="M129" s="20">
        <f t="shared" si="95"/>
        <v>0</v>
      </c>
      <c r="N129" s="20">
        <f t="shared" si="95"/>
        <v>0.33333333333333331</v>
      </c>
      <c r="O129" s="20">
        <f t="shared" ref="O129:U129" si="96">O127-O126-O128</f>
        <v>0.33333333333333331</v>
      </c>
      <c r="P129" s="20">
        <f t="shared" si="96"/>
        <v>0.33333333333333331</v>
      </c>
      <c r="Q129" s="20">
        <f t="shared" si="96"/>
        <v>0.33333333333333331</v>
      </c>
      <c r="R129" s="20">
        <f t="shared" si="96"/>
        <v>0.33333333333333331</v>
      </c>
      <c r="S129" s="20">
        <f t="shared" si="96"/>
        <v>0</v>
      </c>
      <c r="T129" s="20">
        <f t="shared" si="96"/>
        <v>0</v>
      </c>
      <c r="U129" s="20">
        <f t="shared" si="96"/>
        <v>0.33333333333333331</v>
      </c>
      <c r="V129" s="20">
        <f t="shared" ref="V129:Y129" si="97">V127-V126-V128</f>
        <v>0.33333333333333331</v>
      </c>
      <c r="W129" s="20">
        <f t="shared" si="97"/>
        <v>0.33333333333333331</v>
      </c>
      <c r="X129" s="20">
        <f t="shared" si="97"/>
        <v>0.33333333333333331</v>
      </c>
      <c r="Y129" s="20">
        <f t="shared" si="97"/>
        <v>0.33333333333333331</v>
      </c>
      <c r="Z129" s="20">
        <f t="shared" ref="Z129:AB129" si="98">Z127-Z126-Z128</f>
        <v>0</v>
      </c>
      <c r="AA129" s="20">
        <f t="shared" si="98"/>
        <v>0</v>
      </c>
      <c r="AB129" s="20">
        <f t="shared" si="98"/>
        <v>0.33333333333333331</v>
      </c>
      <c r="AC129" s="20">
        <f t="shared" ref="AC129:AF129" si="99">AC127-AC126-AC128</f>
        <v>0</v>
      </c>
      <c r="AD129" s="20">
        <f t="shared" si="99"/>
        <v>0.33333333333333331</v>
      </c>
      <c r="AE129" s="20">
        <f t="shared" si="99"/>
        <v>0.33333333333333331</v>
      </c>
      <c r="AF129" s="20">
        <f t="shared" si="99"/>
        <v>0.33333333333333331</v>
      </c>
      <c r="AG129" s="20">
        <f t="shared" ref="AG129:AH129" si="100">AG127-AG126-AG128</f>
        <v>0</v>
      </c>
      <c r="AH129" s="63">
        <f t="shared" si="100"/>
        <v>0</v>
      </c>
      <c r="AI129" s="54">
        <f t="shared" ref="AI129:AI135" si="101">SUM(E129:AH129)</f>
        <v>6.1666666666666652</v>
      </c>
    </row>
    <row r="130" spans="1:35">
      <c r="A130" s="82"/>
      <c r="B130" s="75"/>
      <c r="C130" s="2" t="s">
        <v>4</v>
      </c>
      <c r="D130" s="3" t="s">
        <v>5</v>
      </c>
      <c r="E130" s="39"/>
      <c r="F130" s="7"/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/>
      <c r="M130" s="7"/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/>
      <c r="T130" s="7"/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/>
      <c r="AA130" s="7"/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/>
      <c r="AH130" s="64"/>
      <c r="AI130" s="55">
        <f t="shared" si="101"/>
        <v>0</v>
      </c>
    </row>
    <row r="131" spans="1:35">
      <c r="A131" s="82"/>
      <c r="B131" s="75"/>
      <c r="C131" s="6"/>
      <c r="D131" s="3" t="s">
        <v>6</v>
      </c>
      <c r="E131" s="39"/>
      <c r="F131" s="7"/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/>
      <c r="M131" s="7"/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/>
      <c r="T131" s="7"/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/>
      <c r="AA131" s="7"/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/>
      <c r="AH131" s="64"/>
      <c r="AI131" s="55">
        <f t="shared" si="101"/>
        <v>0</v>
      </c>
    </row>
    <row r="132" spans="1:35">
      <c r="A132" s="82"/>
      <c r="B132" s="75"/>
      <c r="C132" s="6"/>
      <c r="D132" s="43" t="s">
        <v>21</v>
      </c>
      <c r="E132" s="71"/>
      <c r="F132" s="78"/>
      <c r="G132" s="78">
        <v>0.16666666666666666</v>
      </c>
      <c r="H132" s="78">
        <v>0.33333333333333331</v>
      </c>
      <c r="I132" s="78">
        <v>0.33333333333333331</v>
      </c>
      <c r="J132" s="78">
        <v>0.33333333333333331</v>
      </c>
      <c r="K132" s="78">
        <v>0.33333333333333331</v>
      </c>
      <c r="L132" s="78"/>
      <c r="M132" s="78"/>
      <c r="N132" s="78">
        <v>0.33333333333333331</v>
      </c>
      <c r="O132" s="78">
        <v>0.33333333333333331</v>
      </c>
      <c r="P132" s="78">
        <v>0.33333333333333331</v>
      </c>
      <c r="Q132" s="78">
        <v>0.33333333333333331</v>
      </c>
      <c r="R132" s="78">
        <v>0.33333333333333331</v>
      </c>
      <c r="S132" s="78"/>
      <c r="T132" s="78"/>
      <c r="U132" s="78">
        <v>0.33333333333333331</v>
      </c>
      <c r="V132" s="78">
        <v>0.33333333333333331</v>
      </c>
      <c r="W132" s="78">
        <v>0.33333333333333331</v>
      </c>
      <c r="X132" s="78">
        <v>0.33333333333333331</v>
      </c>
      <c r="Y132" s="78">
        <v>0.33333333333333331</v>
      </c>
      <c r="Z132" s="78"/>
      <c r="AA132" s="78"/>
      <c r="AB132" s="78">
        <v>0.33333333333333331</v>
      </c>
      <c r="AC132" s="78">
        <v>0</v>
      </c>
      <c r="AD132" s="78">
        <v>0.33333333333333331</v>
      </c>
      <c r="AE132" s="78">
        <v>0.33333333333333331</v>
      </c>
      <c r="AF132" s="78">
        <v>0.33333333333333331</v>
      </c>
      <c r="AG132" s="78"/>
      <c r="AH132" s="79"/>
      <c r="AI132" s="80">
        <f t="shared" si="101"/>
        <v>6.1666666666666652</v>
      </c>
    </row>
    <row r="133" spans="1:35">
      <c r="A133" s="82"/>
      <c r="B133" s="75"/>
      <c r="C133" s="6"/>
      <c r="D133" s="3" t="s">
        <v>30</v>
      </c>
      <c r="E133" s="39"/>
      <c r="F133" s="7"/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/>
      <c r="M133" s="7"/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/>
      <c r="T133" s="7"/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/>
      <c r="AA133" s="7"/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/>
      <c r="AH133" s="64"/>
      <c r="AI133" s="55">
        <f t="shared" si="101"/>
        <v>0</v>
      </c>
    </row>
    <row r="134" spans="1:35" ht="16.5" thickBot="1">
      <c r="A134" s="82"/>
      <c r="B134" s="75"/>
      <c r="C134" s="6"/>
      <c r="D134" s="3" t="s">
        <v>34</v>
      </c>
      <c r="E134" s="39"/>
      <c r="F134" s="7"/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/>
      <c r="M134" s="7"/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/>
      <c r="T134" s="7"/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/>
      <c r="AA134" s="7"/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/>
      <c r="AH134" s="64"/>
      <c r="AI134" s="55">
        <f t="shared" si="101"/>
        <v>0</v>
      </c>
    </row>
    <row r="135" spans="1:35" ht="17.25" thickTop="1" thickBot="1">
      <c r="A135" s="83"/>
      <c r="B135" s="76"/>
      <c r="C135" s="27" t="s">
        <v>7</v>
      </c>
      <c r="D135" s="28"/>
      <c r="E135" s="29">
        <f>SUM(E130:E134)</f>
        <v>0</v>
      </c>
      <c r="F135" s="30">
        <f>SUM(F130:F134)</f>
        <v>0</v>
      </c>
      <c r="G135" s="41">
        <f t="shared" ref="G135:AG135" si="102">SUM(G130:G134)</f>
        <v>0.16666666666666666</v>
      </c>
      <c r="H135" s="30">
        <f t="shared" si="102"/>
        <v>0.33333333333333331</v>
      </c>
      <c r="I135" s="30">
        <f t="shared" si="102"/>
        <v>0.33333333333333331</v>
      </c>
      <c r="J135" s="30">
        <f t="shared" si="102"/>
        <v>0.33333333333333331</v>
      </c>
      <c r="K135" s="30">
        <f t="shared" si="102"/>
        <v>0.33333333333333331</v>
      </c>
      <c r="L135" s="30">
        <f t="shared" si="102"/>
        <v>0</v>
      </c>
      <c r="M135" s="30">
        <f t="shared" si="102"/>
        <v>0</v>
      </c>
      <c r="N135" s="30">
        <f t="shared" si="102"/>
        <v>0.33333333333333331</v>
      </c>
      <c r="O135" s="30">
        <f t="shared" si="102"/>
        <v>0.33333333333333331</v>
      </c>
      <c r="P135" s="30">
        <f t="shared" si="102"/>
        <v>0.33333333333333331</v>
      </c>
      <c r="Q135" s="30">
        <f t="shared" si="102"/>
        <v>0.33333333333333331</v>
      </c>
      <c r="R135" s="30">
        <f t="shared" si="102"/>
        <v>0.33333333333333331</v>
      </c>
      <c r="S135" s="30">
        <f t="shared" si="102"/>
        <v>0</v>
      </c>
      <c r="T135" s="30">
        <f t="shared" si="102"/>
        <v>0</v>
      </c>
      <c r="U135" s="30">
        <f t="shared" si="102"/>
        <v>0.33333333333333331</v>
      </c>
      <c r="V135" s="30">
        <f t="shared" si="102"/>
        <v>0.33333333333333331</v>
      </c>
      <c r="W135" s="30">
        <f t="shared" si="102"/>
        <v>0.33333333333333331</v>
      </c>
      <c r="X135" s="30">
        <f t="shared" si="102"/>
        <v>0.33333333333333331</v>
      </c>
      <c r="Y135" s="30">
        <f t="shared" si="102"/>
        <v>0.33333333333333331</v>
      </c>
      <c r="Z135" s="30">
        <f t="shared" si="102"/>
        <v>0</v>
      </c>
      <c r="AA135" s="30">
        <f t="shared" si="102"/>
        <v>0</v>
      </c>
      <c r="AB135" s="30">
        <f t="shared" si="102"/>
        <v>0.33333333333333331</v>
      </c>
      <c r="AC135" s="30">
        <f t="shared" si="102"/>
        <v>0</v>
      </c>
      <c r="AD135" s="30">
        <f t="shared" si="102"/>
        <v>0.33333333333333331</v>
      </c>
      <c r="AE135" s="30">
        <f t="shared" si="102"/>
        <v>0.33333333333333331</v>
      </c>
      <c r="AF135" s="30">
        <f t="shared" si="102"/>
        <v>0.33333333333333331</v>
      </c>
      <c r="AG135" s="30">
        <f t="shared" si="102"/>
        <v>0</v>
      </c>
      <c r="AH135" s="65">
        <f t="shared" ref="AH135" si="103">SUM(AH130:AH134)</f>
        <v>0</v>
      </c>
      <c r="AI135" s="58">
        <f t="shared" si="101"/>
        <v>6.1666666666666652</v>
      </c>
    </row>
    <row r="136" spans="1:35" ht="16.5" thickTop="1">
      <c r="A136" s="81">
        <v>14</v>
      </c>
      <c r="B136" s="74" t="s">
        <v>43</v>
      </c>
      <c r="C136" s="23" t="s">
        <v>0</v>
      </c>
      <c r="D136" s="24"/>
      <c r="E136" s="36"/>
      <c r="F136" s="25"/>
      <c r="G136" s="36">
        <v>0.33333333333333331</v>
      </c>
      <c r="H136" s="36">
        <v>0.35416666666666669</v>
      </c>
      <c r="I136" s="36">
        <v>0.35416666666666669</v>
      </c>
      <c r="J136" s="36">
        <v>0.35416666666666669</v>
      </c>
      <c r="K136" s="36">
        <v>0.35416666666666669</v>
      </c>
      <c r="L136" s="25"/>
      <c r="M136" s="25"/>
      <c r="N136" s="7">
        <v>0.35416666666666669</v>
      </c>
      <c r="O136" s="7">
        <v>0.45833333333333331</v>
      </c>
      <c r="P136" s="7">
        <v>0.5</v>
      </c>
      <c r="Q136" s="7">
        <v>0.35416666666666669</v>
      </c>
      <c r="R136" s="7">
        <v>0.4375</v>
      </c>
      <c r="S136" s="25"/>
      <c r="T136" s="25"/>
      <c r="U136" s="25">
        <v>0.35416666666666669</v>
      </c>
      <c r="V136" s="25">
        <v>0.35416666666666669</v>
      </c>
      <c r="W136" s="25">
        <v>0.35416666666666669</v>
      </c>
      <c r="X136" s="25">
        <v>0.35416666666666669</v>
      </c>
      <c r="Y136" s="25">
        <v>0.35416666666666669</v>
      </c>
      <c r="Z136" s="25"/>
      <c r="AA136" s="25"/>
      <c r="AB136" s="25">
        <v>0.35416666666666669</v>
      </c>
      <c r="AC136" s="25">
        <v>0.35416666666666669</v>
      </c>
      <c r="AD136" s="25">
        <v>0.35416666666666669</v>
      </c>
      <c r="AE136" s="25">
        <v>0.35416666666666669</v>
      </c>
      <c r="AF136" s="25">
        <v>0.35416666666666669</v>
      </c>
      <c r="AG136" s="25"/>
      <c r="AH136" s="66"/>
      <c r="AI136" s="57"/>
    </row>
    <row r="137" spans="1:35">
      <c r="A137" s="82"/>
      <c r="B137" s="75" t="s">
        <v>40</v>
      </c>
      <c r="C137" s="3" t="s">
        <v>1</v>
      </c>
      <c r="D137" s="4"/>
      <c r="E137" s="37"/>
      <c r="F137" s="5"/>
      <c r="G137" s="37">
        <v>0.5</v>
      </c>
      <c r="H137" s="37">
        <v>0.75</v>
      </c>
      <c r="I137" s="37">
        <v>0.75</v>
      </c>
      <c r="J137" s="37">
        <v>0.75</v>
      </c>
      <c r="K137" s="37">
        <v>0.75</v>
      </c>
      <c r="L137" s="5"/>
      <c r="M137" s="5"/>
      <c r="N137" s="7">
        <v>0.75</v>
      </c>
      <c r="O137" s="7">
        <v>0.75</v>
      </c>
      <c r="P137" s="7">
        <v>0.72916666666666663</v>
      </c>
      <c r="Q137" s="7">
        <v>0.75</v>
      </c>
      <c r="R137" s="7">
        <v>0.75</v>
      </c>
      <c r="S137" s="5"/>
      <c r="T137" s="5"/>
      <c r="U137" s="5">
        <v>0.75</v>
      </c>
      <c r="V137" s="5">
        <v>0.75</v>
      </c>
      <c r="W137" s="5">
        <v>0.75</v>
      </c>
      <c r="X137" s="5">
        <v>0.75</v>
      </c>
      <c r="Y137" s="5">
        <v>0.75</v>
      </c>
      <c r="Z137" s="5"/>
      <c r="AA137" s="5"/>
      <c r="AB137" s="5">
        <v>0.75</v>
      </c>
      <c r="AC137" s="5">
        <v>0.75</v>
      </c>
      <c r="AD137" s="5">
        <v>0.75</v>
      </c>
      <c r="AE137" s="5">
        <v>0.75</v>
      </c>
      <c r="AF137" s="5">
        <v>0.75</v>
      </c>
      <c r="AG137" s="5"/>
      <c r="AH137" s="61"/>
      <c r="AI137" s="52"/>
    </row>
    <row r="138" spans="1:35" ht="16.5" thickBot="1">
      <c r="A138" s="82"/>
      <c r="B138" s="75"/>
      <c r="C138" s="8" t="s">
        <v>2</v>
      </c>
      <c r="D138" s="10"/>
      <c r="E138" s="38"/>
      <c r="F138" s="9"/>
      <c r="G138" s="38">
        <v>0</v>
      </c>
      <c r="H138" s="38">
        <v>6.25E-2</v>
      </c>
      <c r="I138" s="38">
        <v>6.25E-2</v>
      </c>
      <c r="J138" s="38">
        <v>6.25E-2</v>
      </c>
      <c r="K138" s="38">
        <v>6.25E-2</v>
      </c>
      <c r="L138" s="9"/>
      <c r="M138" s="9"/>
      <c r="N138" s="7">
        <v>6.25E-2</v>
      </c>
      <c r="O138" s="7">
        <v>6.25E-2</v>
      </c>
      <c r="P138" s="7">
        <v>6.25E-2</v>
      </c>
      <c r="Q138" s="7">
        <v>6.25E-2</v>
      </c>
      <c r="R138" s="7">
        <v>6.25E-2</v>
      </c>
      <c r="S138" s="9"/>
      <c r="T138" s="9"/>
      <c r="U138" s="9">
        <v>6.25E-2</v>
      </c>
      <c r="V138" s="9">
        <v>6.25E-2</v>
      </c>
      <c r="W138" s="9">
        <v>6.25E-2</v>
      </c>
      <c r="X138" s="9">
        <v>6.25E-2</v>
      </c>
      <c r="Y138" s="9">
        <v>6.25E-2</v>
      </c>
      <c r="Z138" s="9"/>
      <c r="AA138" s="9"/>
      <c r="AB138" s="9">
        <v>6.25E-2</v>
      </c>
      <c r="AC138" s="9">
        <v>6.25E-2</v>
      </c>
      <c r="AD138" s="9">
        <v>6.25E-2</v>
      </c>
      <c r="AE138" s="9">
        <v>6.25E-2</v>
      </c>
      <c r="AF138" s="9">
        <v>6.25E-2</v>
      </c>
      <c r="AG138" s="9"/>
      <c r="AH138" s="62"/>
      <c r="AI138" s="53"/>
    </row>
    <row r="139" spans="1:35" ht="16.5" thickTop="1">
      <c r="A139" s="82"/>
      <c r="B139" s="75"/>
      <c r="C139" s="17" t="s">
        <v>12</v>
      </c>
      <c r="D139" s="18"/>
      <c r="E139" s="19">
        <f t="shared" ref="E139:H139" si="104">E137-E136-E138</f>
        <v>0</v>
      </c>
      <c r="F139" s="20">
        <f t="shared" si="104"/>
        <v>0</v>
      </c>
      <c r="G139" s="20">
        <f t="shared" si="104"/>
        <v>0.16666666666666669</v>
      </c>
      <c r="H139" s="20">
        <f t="shared" si="104"/>
        <v>0.33333333333333331</v>
      </c>
      <c r="I139" s="20">
        <f t="shared" ref="I139:K139" si="105">I137-I136-I138</f>
        <v>0.33333333333333331</v>
      </c>
      <c r="J139" s="20">
        <f t="shared" si="105"/>
        <v>0.33333333333333331</v>
      </c>
      <c r="K139" s="20">
        <f t="shared" si="105"/>
        <v>0.33333333333333331</v>
      </c>
      <c r="L139" s="20">
        <f t="shared" ref="L139:P139" si="106">L137-L136-L138</f>
        <v>0</v>
      </c>
      <c r="M139" s="20">
        <f t="shared" si="106"/>
        <v>0</v>
      </c>
      <c r="N139" s="20">
        <f t="shared" si="106"/>
        <v>0.33333333333333331</v>
      </c>
      <c r="O139" s="20">
        <f t="shared" si="106"/>
        <v>0.22916666666666669</v>
      </c>
      <c r="P139" s="20">
        <f t="shared" si="106"/>
        <v>0.16666666666666663</v>
      </c>
      <c r="Q139" s="20">
        <f t="shared" ref="Q139:T139" si="107">Q137-Q136-Q138</f>
        <v>0.33333333333333331</v>
      </c>
      <c r="R139" s="20">
        <f t="shared" si="107"/>
        <v>0.25</v>
      </c>
      <c r="S139" s="20">
        <f t="shared" si="107"/>
        <v>0</v>
      </c>
      <c r="T139" s="20">
        <f t="shared" si="107"/>
        <v>0</v>
      </c>
      <c r="U139" s="20">
        <v>0.33333333333333331</v>
      </c>
      <c r="V139" s="20">
        <v>0.33333333333333331</v>
      </c>
      <c r="W139" s="20">
        <v>0.33333333333333331</v>
      </c>
      <c r="X139" s="20">
        <v>0.33333333333333331</v>
      </c>
      <c r="Y139" s="20">
        <v>0.33333333333333331</v>
      </c>
      <c r="Z139" s="20">
        <f t="shared" ref="Z139:AA139" si="108">Z137-Z136-Z138</f>
        <v>0</v>
      </c>
      <c r="AA139" s="20">
        <f t="shared" si="108"/>
        <v>0</v>
      </c>
      <c r="AB139" s="20">
        <v>0.33333333333333331</v>
      </c>
      <c r="AC139" s="20">
        <v>0.33333333333333331</v>
      </c>
      <c r="AD139" s="20">
        <v>0.33333333333333331</v>
      </c>
      <c r="AE139" s="20">
        <v>0.33333333333333331</v>
      </c>
      <c r="AF139" s="20">
        <v>0.33333333333333331</v>
      </c>
      <c r="AG139" s="20">
        <f t="shared" ref="AG139:AH139" si="109">AG137-AG136-AG138</f>
        <v>0</v>
      </c>
      <c r="AH139" s="63">
        <f t="shared" si="109"/>
        <v>0</v>
      </c>
      <c r="AI139" s="54">
        <f t="shared" ref="AI139:AI145" si="110">SUM(E139:AH139)</f>
        <v>6.1458333333333313</v>
      </c>
    </row>
    <row r="140" spans="1:35">
      <c r="A140" s="82"/>
      <c r="B140" s="75"/>
      <c r="C140" s="2" t="s">
        <v>4</v>
      </c>
      <c r="D140" s="3" t="s">
        <v>5</v>
      </c>
      <c r="E140" s="39"/>
      <c r="F140" s="7"/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/>
      <c r="M140" s="7"/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/>
      <c r="T140" s="7"/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/>
      <c r="AA140" s="7"/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/>
      <c r="AH140" s="64"/>
      <c r="AI140" s="55">
        <f t="shared" si="110"/>
        <v>0</v>
      </c>
    </row>
    <row r="141" spans="1:35">
      <c r="A141" s="82"/>
      <c r="B141" s="75"/>
      <c r="C141" s="6"/>
      <c r="D141" s="3" t="s">
        <v>6</v>
      </c>
      <c r="E141" s="39"/>
      <c r="F141" s="7"/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/>
      <c r="M141" s="7"/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/>
      <c r="T141" s="7"/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/>
      <c r="AA141" s="7"/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/>
      <c r="AH141" s="64"/>
      <c r="AI141" s="55">
        <f t="shared" si="110"/>
        <v>0</v>
      </c>
    </row>
    <row r="142" spans="1:35">
      <c r="A142" s="82"/>
      <c r="B142" s="6"/>
      <c r="C142" s="6"/>
      <c r="D142" s="3" t="s">
        <v>21</v>
      </c>
      <c r="E142" s="39"/>
      <c r="F142" s="7"/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/>
      <c r="M142" s="7"/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/>
      <c r="T142" s="7"/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/>
      <c r="AA142" s="7"/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/>
      <c r="AH142" s="64"/>
      <c r="AI142" s="55">
        <f t="shared" si="110"/>
        <v>0</v>
      </c>
    </row>
    <row r="143" spans="1:35">
      <c r="A143" s="82"/>
      <c r="B143" s="6"/>
      <c r="C143" s="6"/>
      <c r="D143" s="43" t="s">
        <v>30</v>
      </c>
      <c r="E143" s="71"/>
      <c r="F143" s="78"/>
      <c r="G143" s="78">
        <v>0.16666666666666666</v>
      </c>
      <c r="H143" s="78">
        <v>0.33333333333333331</v>
      </c>
      <c r="I143" s="78">
        <v>0.33333333333333331</v>
      </c>
      <c r="J143" s="78">
        <v>0.33333333333333331</v>
      </c>
      <c r="K143" s="78">
        <v>0.33333333333333331</v>
      </c>
      <c r="L143" s="78"/>
      <c r="M143" s="78"/>
      <c r="N143" s="78">
        <v>0.33333333333333331</v>
      </c>
      <c r="O143" s="78">
        <v>0.22916666666666666</v>
      </c>
      <c r="P143" s="78">
        <v>0.16666666666666666</v>
      </c>
      <c r="Q143" s="78">
        <v>0.33333333333333331</v>
      </c>
      <c r="R143" s="78">
        <v>0.25</v>
      </c>
      <c r="S143" s="78"/>
      <c r="T143" s="78"/>
      <c r="U143" s="78">
        <v>0.33333333333333331</v>
      </c>
      <c r="V143" s="78">
        <v>0.33333333333333331</v>
      </c>
      <c r="W143" s="78">
        <v>0.33333333333333331</v>
      </c>
      <c r="X143" s="78">
        <v>0.33333333333333331</v>
      </c>
      <c r="Y143" s="78">
        <v>0.33333333333333331</v>
      </c>
      <c r="Z143" s="78"/>
      <c r="AA143" s="78"/>
      <c r="AB143" s="78">
        <v>0.33333333333333331</v>
      </c>
      <c r="AC143" s="78">
        <v>0.33333333333333331</v>
      </c>
      <c r="AD143" s="78">
        <v>0.33333333333333331</v>
      </c>
      <c r="AE143" s="78">
        <v>0.33333333333333331</v>
      </c>
      <c r="AF143" s="78">
        <v>0.33333333333333331</v>
      </c>
      <c r="AG143" s="78"/>
      <c r="AH143" s="79"/>
      <c r="AI143" s="80">
        <f t="shared" si="110"/>
        <v>6.1458333333333313</v>
      </c>
    </row>
    <row r="144" spans="1:35" ht="16.5" thickBot="1">
      <c r="A144" s="82"/>
      <c r="B144" s="6"/>
      <c r="C144" s="6"/>
      <c r="D144" s="3" t="s">
        <v>34</v>
      </c>
      <c r="E144" s="39"/>
      <c r="F144" s="7"/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/>
      <c r="M144" s="7"/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/>
      <c r="T144" s="7"/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/>
      <c r="AA144" s="7"/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/>
      <c r="AH144" s="64"/>
      <c r="AI144" s="55">
        <f t="shared" si="110"/>
        <v>0</v>
      </c>
    </row>
    <row r="145" spans="1:35" ht="17.25" thickTop="1" thickBot="1">
      <c r="A145" s="83"/>
      <c r="B145" s="26"/>
      <c r="C145" s="27" t="s">
        <v>7</v>
      </c>
      <c r="D145" s="28"/>
      <c r="E145" s="67">
        <f t="shared" ref="E145:F145" si="111">SUM(E140:E144)</f>
        <v>0</v>
      </c>
      <c r="F145" s="68">
        <f t="shared" si="111"/>
        <v>0</v>
      </c>
      <c r="G145" s="68">
        <f t="shared" ref="G145:AG145" si="112">SUM(G140:G144)</f>
        <v>0.16666666666666666</v>
      </c>
      <c r="H145" s="68">
        <f t="shared" si="112"/>
        <v>0.33333333333333331</v>
      </c>
      <c r="I145" s="68">
        <f t="shared" si="112"/>
        <v>0.33333333333333331</v>
      </c>
      <c r="J145" s="68">
        <f t="shared" si="112"/>
        <v>0.33333333333333331</v>
      </c>
      <c r="K145" s="68">
        <f t="shared" si="112"/>
        <v>0.33333333333333331</v>
      </c>
      <c r="L145" s="68">
        <f t="shared" si="112"/>
        <v>0</v>
      </c>
      <c r="M145" s="68">
        <f t="shared" si="112"/>
        <v>0</v>
      </c>
      <c r="N145" s="68">
        <f t="shared" si="112"/>
        <v>0.33333333333333331</v>
      </c>
      <c r="O145" s="68">
        <f t="shared" si="112"/>
        <v>0.22916666666666666</v>
      </c>
      <c r="P145" s="68">
        <f>SUM(P140:P144)</f>
        <v>0.16666666666666666</v>
      </c>
      <c r="Q145" s="68">
        <f t="shared" si="112"/>
        <v>0.33333333333333331</v>
      </c>
      <c r="R145" s="68">
        <f t="shared" si="112"/>
        <v>0.25</v>
      </c>
      <c r="S145" s="68">
        <f t="shared" si="112"/>
        <v>0</v>
      </c>
      <c r="T145" s="68">
        <f t="shared" si="112"/>
        <v>0</v>
      </c>
      <c r="U145" s="68">
        <f t="shared" si="112"/>
        <v>0.33333333333333331</v>
      </c>
      <c r="V145" s="68">
        <f t="shared" si="112"/>
        <v>0.33333333333333331</v>
      </c>
      <c r="W145" s="68">
        <f t="shared" si="112"/>
        <v>0.33333333333333331</v>
      </c>
      <c r="X145" s="68">
        <f t="shared" si="112"/>
        <v>0.33333333333333331</v>
      </c>
      <c r="Y145" s="68">
        <f t="shared" si="112"/>
        <v>0.33333333333333331</v>
      </c>
      <c r="Z145" s="68">
        <f t="shared" si="112"/>
        <v>0</v>
      </c>
      <c r="AA145" s="68">
        <f t="shared" si="112"/>
        <v>0</v>
      </c>
      <c r="AB145" s="68">
        <f>SUM(AB140:AB144)</f>
        <v>0.33333333333333331</v>
      </c>
      <c r="AC145" s="68">
        <f t="shared" si="112"/>
        <v>0.33333333333333331</v>
      </c>
      <c r="AD145" s="68">
        <f t="shared" si="112"/>
        <v>0.33333333333333331</v>
      </c>
      <c r="AE145" s="68">
        <f t="shared" si="112"/>
        <v>0.33333333333333331</v>
      </c>
      <c r="AF145" s="68">
        <f t="shared" si="112"/>
        <v>0.33333333333333331</v>
      </c>
      <c r="AG145" s="68">
        <f t="shared" si="112"/>
        <v>0</v>
      </c>
      <c r="AH145" s="69">
        <f t="shared" ref="AH145" si="113">SUM(AH140:AH144)</f>
        <v>0</v>
      </c>
      <c r="AI145" s="58">
        <f t="shared" si="110"/>
        <v>6.1458333333333313</v>
      </c>
    </row>
    <row r="146" spans="1:35" ht="16.5" thickTop="1"/>
    <row r="148" spans="1:35" ht="18.75">
      <c r="P148" s="11" t="s">
        <v>13</v>
      </c>
    </row>
    <row r="149" spans="1:35">
      <c r="E149" s="98" t="s">
        <v>9</v>
      </c>
      <c r="F149" s="99"/>
      <c r="G149" s="99"/>
      <c r="H149" s="99"/>
      <c r="I149" s="99"/>
      <c r="J149" s="99"/>
      <c r="K149" s="100"/>
      <c r="L149" s="98" t="s">
        <v>3</v>
      </c>
      <c r="M149" s="100"/>
    </row>
    <row r="150" spans="1:35" ht="15.75" customHeight="1">
      <c r="E150" s="3" t="s">
        <v>5</v>
      </c>
      <c r="F150" s="86" t="s">
        <v>29</v>
      </c>
      <c r="G150" s="87"/>
      <c r="H150" s="87"/>
      <c r="I150" s="87"/>
      <c r="J150" s="87"/>
      <c r="K150" s="88"/>
      <c r="L150" s="93">
        <f>SUM(AI10,AI20,AI30,AI40,AI50,AI60,AI70,AI80,AI90,AI100,AI110,AI120,AI130,AI140)</f>
        <v>18.729166666666661</v>
      </c>
      <c r="M150" s="94"/>
    </row>
    <row r="151" spans="1:35" ht="15.75" customHeight="1">
      <c r="E151" s="3" t="s">
        <v>6</v>
      </c>
      <c r="F151" s="86" t="s">
        <v>37</v>
      </c>
      <c r="G151" s="87"/>
      <c r="H151" s="87"/>
      <c r="I151" s="87"/>
      <c r="J151" s="87"/>
      <c r="K151" s="88"/>
      <c r="L151" s="93">
        <f>SUM(AI11,AI21,AI31,AI41,AI51,AI61,AI71,AI81,AI91,AI101,AI111,AI121,AI131,AI141)</f>
        <v>39.020833333333321</v>
      </c>
      <c r="M151" s="94"/>
    </row>
    <row r="152" spans="1:35">
      <c r="E152" s="3" t="s">
        <v>21</v>
      </c>
      <c r="F152" s="90" t="s">
        <v>31</v>
      </c>
      <c r="G152" s="91"/>
      <c r="H152" s="91"/>
      <c r="I152" s="91"/>
      <c r="J152" s="91"/>
      <c r="K152" s="92"/>
      <c r="L152" s="93">
        <f>SUM(AI12,AI22,AI32,AI42,AI52,AI62,AI72,AI82,AI92,AI102,AI112,AI122,AI132,AI142)</f>
        <v>24.958333333333329</v>
      </c>
      <c r="M152" s="94"/>
    </row>
    <row r="153" spans="1:35">
      <c r="E153" s="3" t="s">
        <v>30</v>
      </c>
      <c r="F153" s="90" t="s">
        <v>40</v>
      </c>
      <c r="G153" s="91"/>
      <c r="H153" s="91"/>
      <c r="I153" s="91"/>
      <c r="J153" s="91"/>
      <c r="K153" s="92"/>
      <c r="L153" s="93">
        <f>SUM(AI13,AI23,AI33,AI43,AI53,AI63,AI73,AI83,AI93,AI103,AI113,AI123,AI133,AI143)</f>
        <v>6.1458333333333313</v>
      </c>
      <c r="M153" s="94"/>
    </row>
    <row r="154" spans="1:35" ht="16.5" thickBot="1">
      <c r="E154" s="3" t="s">
        <v>34</v>
      </c>
      <c r="F154" s="86"/>
      <c r="G154" s="87"/>
      <c r="H154" s="87"/>
      <c r="I154" s="87"/>
      <c r="J154" s="87"/>
      <c r="K154" s="88"/>
      <c r="L154" s="93">
        <f>SUM(AI14,AI24,AI34,AI44,AI54,AI64,AI74,AI84,AI94,AI104,AI114,AI124,AI134,AI144)</f>
        <v>0</v>
      </c>
      <c r="M154" s="94"/>
    </row>
    <row r="155" spans="1:35" ht="19.5" customHeight="1" thickTop="1">
      <c r="L155" s="101">
        <f>SUM(L150:M154)</f>
        <v>88.854166666666643</v>
      </c>
      <c r="M155" s="102"/>
    </row>
    <row r="156" spans="1:35">
      <c r="N156" s="40"/>
    </row>
    <row r="157" spans="1:35" ht="18.75">
      <c r="J157" s="11" t="s">
        <v>44</v>
      </c>
      <c r="M157" s="22">
        <f>(L155*24)/((8*H2)*(14))</f>
        <v>0.95200892857142838</v>
      </c>
    </row>
    <row r="158" spans="1:35">
      <c r="L158" s="73"/>
    </row>
    <row r="159" spans="1:35" ht="18.75">
      <c r="M159" s="22"/>
      <c r="T159" s="16" t="s">
        <v>11</v>
      </c>
      <c r="U159" s="12"/>
      <c r="V159" s="12"/>
      <c r="W159" s="97">
        <f ca="1">TODAY()</f>
        <v>45989</v>
      </c>
      <c r="X159" s="97"/>
      <c r="Y159" s="97"/>
      <c r="AB159" s="84" t="s">
        <v>15</v>
      </c>
      <c r="AC159" s="84"/>
      <c r="AD159" s="84"/>
      <c r="AE159" s="89" t="s">
        <v>35</v>
      </c>
      <c r="AF159" s="89"/>
      <c r="AG159" s="89"/>
      <c r="AH159" s="89"/>
      <c r="AI159" s="89"/>
    </row>
    <row r="160" spans="1:35">
      <c r="M160" s="22"/>
    </row>
    <row r="163" spans="28:35" ht="18.75">
      <c r="AB163" s="84" t="s">
        <v>14</v>
      </c>
      <c r="AC163" s="84"/>
      <c r="AD163" s="84"/>
      <c r="AE163" s="85"/>
      <c r="AF163" s="85"/>
      <c r="AG163" s="85"/>
      <c r="AH163" s="85"/>
      <c r="AI163" s="85"/>
    </row>
  </sheetData>
  <mergeCells count="33">
    <mergeCell ref="A6:A15"/>
    <mergeCell ref="A16:A25"/>
    <mergeCell ref="E1:G1"/>
    <mergeCell ref="W159:Y159"/>
    <mergeCell ref="L150:M150"/>
    <mergeCell ref="L151:M151"/>
    <mergeCell ref="E149:K149"/>
    <mergeCell ref="L149:M149"/>
    <mergeCell ref="L155:M155"/>
    <mergeCell ref="F154:K154"/>
    <mergeCell ref="L154:M154"/>
    <mergeCell ref="A26:A35"/>
    <mergeCell ref="A116:A125"/>
    <mergeCell ref="A36:A45"/>
    <mergeCell ref="A56:A65"/>
    <mergeCell ref="A46:A55"/>
    <mergeCell ref="AE163:AI163"/>
    <mergeCell ref="F150:K150"/>
    <mergeCell ref="F151:K151"/>
    <mergeCell ref="A106:A115"/>
    <mergeCell ref="AB159:AD159"/>
    <mergeCell ref="AE159:AI159"/>
    <mergeCell ref="F152:K152"/>
    <mergeCell ref="L152:M152"/>
    <mergeCell ref="A126:A135"/>
    <mergeCell ref="A136:A145"/>
    <mergeCell ref="F153:K153"/>
    <mergeCell ref="L153:M153"/>
    <mergeCell ref="A66:A75"/>
    <mergeCell ref="A76:A85"/>
    <mergeCell ref="A86:A95"/>
    <mergeCell ref="A96:A105"/>
    <mergeCell ref="AB163:AD163"/>
  </mergeCells>
  <phoneticPr fontId="2"/>
  <conditionalFormatting sqref="E4:AH4">
    <cfRule type="expression" dxfId="1" priority="12">
      <formula>OR(E5="土",E5="日")</formula>
    </cfRule>
  </conditionalFormatting>
  <conditionalFormatting sqref="E5:AH5">
    <cfRule type="expression" dxfId="0" priority="2">
      <formula>OR(E5="土",E5="日")</formula>
    </cfRule>
  </conditionalFormatting>
  <pageMargins left="0.25" right="0.25" top="0.75" bottom="0.75" header="0.3" footer="0.3"/>
  <pageSetup paperSize="9" scale="31" fitToHeight="3" orientation="portrait" r:id="rId1"/>
  <ignoredErrors>
    <ignoredError sqref="F25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作業実績表</vt:lpstr>
      <vt:lpstr>作業実績表!Print_Area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2025-11-28T05:46:55Z</dcterms:modified>
</cp:coreProperties>
</file>